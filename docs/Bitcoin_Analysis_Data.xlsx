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5F82AC-0587-4A91-A3C6-15DB60B5519F}" xr6:coauthVersionLast="47" xr6:coauthVersionMax="47" xr10:uidLastSave="{00000000-0000-0000-0000-000000000000}"/>
  <bookViews>
    <workbookView xWindow="0" yWindow="10" windowWidth="19420" windowHeight="11020" activeTab="2" xr2:uid="{00000000-000D-0000-FFFF-FFFF00000000}"/>
  </bookViews>
  <sheets>
    <sheet name="1. Evaluation Metrics" sheetId="1" r:id="rId1"/>
    <sheet name="2. Future Projections" sheetId="2" r:id="rId2"/>
    <sheet name="3. Detail Testing (Horizon 1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3" l="1"/>
  <c r="R13" i="3"/>
  <c r="R12" i="3"/>
  <c r="R9" i="3"/>
  <c r="R8" i="3"/>
  <c r="R7" i="3"/>
  <c r="R4" i="3"/>
  <c r="R3" i="3"/>
  <c r="R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2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2" i="3"/>
</calcChain>
</file>

<file path=xl/sharedStrings.xml><?xml version="1.0" encoding="utf-8"?>
<sst xmlns="http://schemas.openxmlformats.org/spreadsheetml/2006/main" count="48" uniqueCount="38">
  <si>
    <t>Algorithm Model</t>
  </si>
  <si>
    <t>Target Horizon (Days)</t>
  </si>
  <si>
    <t>RMSE</t>
  </si>
  <si>
    <t>MAE</t>
  </si>
  <si>
    <t>MAPE (%)</t>
  </si>
  <si>
    <t>XGBoost</t>
  </si>
  <si>
    <t>LSTM</t>
  </si>
  <si>
    <t>Hybrid (LSTM+XGB)</t>
  </si>
  <si>
    <t>Date</t>
  </si>
  <si>
    <t>XGBoost Prediction (IDR)</t>
  </si>
  <si>
    <t>LSTM Prediction (IDR)</t>
  </si>
  <si>
    <t>Hybrid Prediction (IDR)</t>
  </si>
  <si>
    <t>21 May 2026</t>
  </si>
  <si>
    <t>23 May 2026</t>
  </si>
  <si>
    <t>27 May 2026</t>
  </si>
  <si>
    <t>Test Data Instance</t>
  </si>
  <si>
    <t>Actual Price (IDR)</t>
  </si>
  <si>
    <t>Hybrid Error Difference (IDR)</t>
  </si>
  <si>
    <t>RMSE (XGBoost)</t>
  </si>
  <si>
    <t>MAE(XGBoost)</t>
  </si>
  <si>
    <t>MAPE(LSTM)</t>
  </si>
  <si>
    <t>MAPE(XGBoost)</t>
  </si>
  <si>
    <t>RMSE(LSTM)</t>
  </si>
  <si>
    <t>MAE(LSTM)</t>
  </si>
  <si>
    <t>RMSE(Hybrid)</t>
  </si>
  <si>
    <t>MAE(Hybrid)</t>
  </si>
  <si>
    <t>MAPE(Hybrid)</t>
  </si>
  <si>
    <t>Hasil Metrik XGBoost</t>
  </si>
  <si>
    <t>Nilai Akhir RMSE XGBoost:</t>
  </si>
  <si>
    <t>Nilai Akhir MAE XGBoost:</t>
  </si>
  <si>
    <t>Nilai Akhir MAPE XGBoost:</t>
  </si>
  <si>
    <t>Hasil Metrik LSTM:</t>
  </si>
  <si>
    <t>Nilai Akhir RMSE LSTM:</t>
  </si>
  <si>
    <t>Nilai Akhir MAE LSTM:</t>
  </si>
  <si>
    <t>Hasil Metrik Hybrid:</t>
  </si>
  <si>
    <t>Nilai Akhir RMSE Hybrid:</t>
  </si>
  <si>
    <t>Nilai Akhir MAE Hybrid:</t>
  </si>
  <si>
    <t>Nilai Akhir MAPE Hybrid: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</si>
</sst>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8" sqref="E8"/>
    </sheetView>
  </sheetViews>
  <sheetFormatPr defaultRowHeight="14.5" x14ac:dyDescent="0.35"/>
  <cols>
    <col min="1" max="1" width="16.75" bestFit="1" customWidth="1"/>
    <col min="2" max="2" width="18.5" bestFit="1" customWidth="1"/>
    <col min="3" max="3" width="11.75" bestFit="1" customWidth="1"/>
    <col min="4" max="4" width="10.7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>
        <v>1</v>
      </c>
      <c r="C2">
        <v>69907347.448404074</v>
      </c>
      <c r="D2">
        <v>47396747.951373458</v>
      </c>
      <c r="E2">
        <v>3.8941581429116372</v>
      </c>
    </row>
    <row r="3" spans="1:5" ht="15.5" x14ac:dyDescent="0.35">
      <c r="A3" t="s">
        <v>5</v>
      </c>
      <c r="B3">
        <v>3</v>
      </c>
      <c r="C3">
        <v>85145091.480259538</v>
      </c>
      <c r="D3">
        <v>64784713.228563003</v>
      </c>
      <c r="E3">
        <v>5.2260711346545961</v>
      </c>
    </row>
    <row r="4" spans="1:5" ht="15.5" x14ac:dyDescent="0.35">
      <c r="A4" t="s">
        <v>5</v>
      </c>
      <c r="B4">
        <v>7</v>
      </c>
      <c r="C4">
        <v>121486314.11426142</v>
      </c>
      <c r="D4">
        <v>95414687.709109724</v>
      </c>
      <c r="E4">
        <v>7.661177947185795</v>
      </c>
    </row>
    <row r="5" spans="1:5" ht="15.5" x14ac:dyDescent="0.35">
      <c r="A5" t="s">
        <v>6</v>
      </c>
      <c r="B5">
        <v>1</v>
      </c>
      <c r="C5">
        <v>62927542.682432897</v>
      </c>
      <c r="D5">
        <v>46816226.67453146</v>
      </c>
      <c r="E5">
        <v>3.6424933341460215</v>
      </c>
    </row>
    <row r="6" spans="1:5" ht="15.5" x14ac:dyDescent="0.35">
      <c r="A6" t="s">
        <v>6</v>
      </c>
      <c r="B6">
        <v>3</v>
      </c>
      <c r="C6">
        <v>83551933.443939775</v>
      </c>
      <c r="D6">
        <v>64338270.841311239</v>
      </c>
      <c r="E6">
        <v>4.9939128783948474</v>
      </c>
    </row>
    <row r="7" spans="1:5" ht="15.5" x14ac:dyDescent="0.35">
      <c r="A7" t="s">
        <v>6</v>
      </c>
      <c r="B7">
        <v>7</v>
      </c>
      <c r="C7">
        <v>116982086.32123132</v>
      </c>
      <c r="D7">
        <v>84757549.160796538</v>
      </c>
      <c r="E7">
        <v>6.7651881566621093</v>
      </c>
    </row>
    <row r="8" spans="1:5" ht="15.5" x14ac:dyDescent="0.35">
      <c r="A8" t="s">
        <v>7</v>
      </c>
      <c r="B8">
        <v>1</v>
      </c>
      <c r="C8">
        <v>69364214.827861175</v>
      </c>
      <c r="D8">
        <v>52384889.262969136</v>
      </c>
      <c r="E8">
        <v>4.1171583533447231</v>
      </c>
    </row>
    <row r="9" spans="1:5" ht="15.5" x14ac:dyDescent="0.35">
      <c r="A9" t="s">
        <v>7</v>
      </c>
      <c r="B9">
        <v>3</v>
      </c>
      <c r="C9">
        <v>73769422.326711997</v>
      </c>
      <c r="D9">
        <v>53715736.871308975</v>
      </c>
      <c r="E9">
        <v>4.2307043415425367</v>
      </c>
    </row>
    <row r="10" spans="1:5" ht="15.5" x14ac:dyDescent="0.35">
      <c r="A10" t="s">
        <v>7</v>
      </c>
      <c r="B10">
        <v>7</v>
      </c>
      <c r="C10">
        <v>114341538.62146299</v>
      </c>
      <c r="D10">
        <v>86613755.80033128</v>
      </c>
      <c r="E10">
        <v>6.899526735268342</v>
      </c>
    </row>
  </sheetData>
  <pageMargins left="0.7" right="0.7" top="0.75" bottom="0.75" header="0.3" footer="0.3"/>
  <ignoredErrors>
    <ignoredError sqref="A1:E2 A4:E10 A3:C3 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G9" sqref="G9"/>
    </sheetView>
  </sheetViews>
  <sheetFormatPr defaultRowHeight="14.5" x14ac:dyDescent="0.35"/>
  <sheetData>
    <row r="1" spans="1:4" ht="15.5" x14ac:dyDescent="0.35">
      <c r="A1" t="s">
        <v>8</v>
      </c>
      <c r="B1" t="s">
        <v>9</v>
      </c>
      <c r="C1" t="s">
        <v>10</v>
      </c>
      <c r="D1" t="s">
        <v>11</v>
      </c>
    </row>
    <row r="2" spans="1:4" ht="15.5" x14ac:dyDescent="0.35">
      <c r="A2" t="s">
        <v>12</v>
      </c>
      <c r="B2">
        <v>1361765932.5884936</v>
      </c>
      <c r="C2">
        <v>1384194894.8397255</v>
      </c>
      <c r="D2">
        <v>1392486744.879015</v>
      </c>
    </row>
    <row r="3" spans="1:4" ht="15.5" x14ac:dyDescent="0.35">
      <c r="A3" t="s">
        <v>13</v>
      </c>
      <c r="B3">
        <v>1381844428.6520576</v>
      </c>
      <c r="C3">
        <v>1377654855.423517</v>
      </c>
      <c r="D3">
        <v>1405339868.0936005</v>
      </c>
    </row>
    <row r="4" spans="1:4" ht="15.5" x14ac:dyDescent="0.35">
      <c r="A4" t="s">
        <v>14</v>
      </c>
      <c r="B4">
        <v>1398791787.5324852</v>
      </c>
      <c r="C4">
        <v>1410620911.6372235</v>
      </c>
      <c r="D4">
        <v>1447910137.5632</v>
      </c>
    </row>
  </sheetData>
  <pageMargins left="0.7" right="0.7" top="0.75" bottom="0.75" header="0.3" footer="0.3"/>
  <ignoredErrors>
    <ignoredError sqref="A1:D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1"/>
  <sheetViews>
    <sheetView tabSelected="1" workbookViewId="0">
      <selection activeCell="N5" sqref="N5"/>
    </sheetView>
  </sheetViews>
  <sheetFormatPr defaultRowHeight="15.5" x14ac:dyDescent="0.35"/>
  <cols>
    <col min="1" max="1" width="15.9140625" bestFit="1" customWidth="1"/>
    <col min="2" max="2" width="14.9140625" bestFit="1" customWidth="1"/>
    <col min="3" max="3" width="21.1640625" bestFit="1" customWidth="1"/>
    <col min="4" max="4" width="18.6640625" bestFit="1" customWidth="1"/>
    <col min="5" max="5" width="19.6640625" bestFit="1" customWidth="1"/>
    <col min="6" max="6" width="24.33203125" bestFit="1" customWidth="1"/>
    <col min="8" max="8" width="12.83203125" bestFit="1" customWidth="1"/>
    <col min="9" max="9" width="13.83203125" bestFit="1" customWidth="1"/>
    <col min="10" max="12" width="11.75" bestFit="1" customWidth="1"/>
    <col min="13" max="13" width="12.1640625" bestFit="1" customWidth="1"/>
    <col min="14" max="14" width="11.75" bestFit="1" customWidth="1"/>
    <col min="15" max="15" width="12.33203125" bestFit="1" customWidth="1"/>
    <col min="17" max="17" width="22.75" bestFit="1" customWidth="1"/>
  </cols>
  <sheetData>
    <row r="1" spans="1:18" x14ac:dyDescent="0.35">
      <c r="A1" t="s">
        <v>15</v>
      </c>
      <c r="B1" t="s">
        <v>16</v>
      </c>
      <c r="C1" t="s">
        <v>9</v>
      </c>
      <c r="D1" t="s">
        <v>10</v>
      </c>
      <c r="E1" t="s">
        <v>11</v>
      </c>
      <c r="F1" t="s">
        <v>17</v>
      </c>
      <c r="G1" s="4" t="s">
        <v>18</v>
      </c>
      <c r="H1" s="4" t="s">
        <v>19</v>
      </c>
      <c r="I1" s="4" t="s">
        <v>21</v>
      </c>
      <c r="J1" s="5" t="s">
        <v>22</v>
      </c>
      <c r="K1" s="5" t="s">
        <v>23</v>
      </c>
      <c r="L1" s="5" t="s">
        <v>20</v>
      </c>
      <c r="M1" s="3" t="s">
        <v>24</v>
      </c>
      <c r="N1" s="3" t="s">
        <v>25</v>
      </c>
      <c r="O1" s="3" t="s">
        <v>26</v>
      </c>
      <c r="Q1" s="1" t="s">
        <v>27</v>
      </c>
      <c r="R1" s="1"/>
    </row>
    <row r="2" spans="1:18" x14ac:dyDescent="0.35">
      <c r="A2">
        <v>1</v>
      </c>
      <c r="B2">
        <v>1479605877.5599999</v>
      </c>
      <c r="C2">
        <v>1466231189.0864241</v>
      </c>
      <c r="D2">
        <v>1465528144.6715634</v>
      </c>
      <c r="E2">
        <v>1486182887.1310503</v>
      </c>
      <c r="F2">
        <v>6577009.5710504055</v>
      </c>
      <c r="G2">
        <f>(B2 - C2)^2</f>
        <v>178882291765202.19</v>
      </c>
      <c r="H2">
        <f>ABS(B2 - C2)</f>
        <v>13374688.47357583</v>
      </c>
      <c r="I2">
        <f>ABS((B2 - C2) / B2)</f>
        <v>9.0393588430669573E-3</v>
      </c>
      <c r="J2">
        <f>(B2 - D2)^2</f>
        <v>198182563278168.25</v>
      </c>
      <c r="K2">
        <f>ABS(B2 - D2)</f>
        <v>14077732.888436556</v>
      </c>
      <c r="L2">
        <f>ABS((B2 - D2) / B2)</f>
        <v>9.5145153867947415E-3</v>
      </c>
      <c r="M2">
        <f>(B2 - E2)^2</f>
        <v>43257054897688.641</v>
      </c>
      <c r="N2">
        <f>ABS(B2 - E2)</f>
        <v>6577009.5710504055</v>
      </c>
      <c r="O2">
        <f>ABS((B2 - E2) / B2)</f>
        <v>4.445109113716466E-3</v>
      </c>
      <c r="Q2" s="1" t="s">
        <v>28</v>
      </c>
      <c r="R2" s="1">
        <f>SQRT(AVERAGE(G2:G141))</f>
        <v>69907347.448404059</v>
      </c>
    </row>
    <row r="3" spans="1:18" x14ac:dyDescent="0.35">
      <c r="A3">
        <v>2</v>
      </c>
      <c r="B3">
        <v>1502301249.3099999</v>
      </c>
      <c r="C3">
        <v>1471293704.1692843</v>
      </c>
      <c r="D3">
        <v>1466145823.65959</v>
      </c>
      <c r="E3">
        <v>1470061798.9092398</v>
      </c>
      <c r="F3">
        <v>32239450.400760174</v>
      </c>
      <c r="G3">
        <f t="shared" ref="G3:G66" si="0">(B3 - C3)^2</f>
        <v>961467855653515.5</v>
      </c>
      <c r="H3">
        <f t="shared" ref="H3:H66" si="1">ABS(B3 - C3)</f>
        <v>31007545.140715599</v>
      </c>
      <c r="I3">
        <f t="shared" ref="I3:I66" si="2">ABS((B3 - C3) / B3)</f>
        <v>2.0640031521612076E-2</v>
      </c>
      <c r="J3">
        <f t="shared" ref="J3:J66" si="3">(B3 - D3)^2</f>
        <v>1307214803962320.8</v>
      </c>
      <c r="K3">
        <f t="shared" ref="K3:K66" si="4">ABS(B3 - D3)</f>
        <v>36155425.650409937</v>
      </c>
      <c r="L3">
        <f t="shared" ref="L3:L66" si="5">ABS((B3 - D3) / B3)</f>
        <v>2.406669479041967E-2</v>
      </c>
      <c r="M3">
        <f t="shared" ref="M3:M66" si="6">(B3 - E3)^2</f>
        <v>1039382162143075.4</v>
      </c>
      <c r="N3">
        <f t="shared" ref="N3:N66" si="7">ABS(B3 - E3)</f>
        <v>32239450.400760174</v>
      </c>
      <c r="O3">
        <f t="shared" ref="O3:O66" si="8">ABS((B3 - E3) / B3)</f>
        <v>2.1460043660063256E-2</v>
      </c>
      <c r="Q3" s="2" t="s">
        <v>29</v>
      </c>
      <c r="R3" s="1">
        <f>AVERAGE(H2:H141)</f>
        <v>47396747.951373458</v>
      </c>
    </row>
    <row r="4" spans="1:18" x14ac:dyDescent="0.35">
      <c r="A4">
        <v>3</v>
      </c>
      <c r="B4">
        <v>1513299766.75</v>
      </c>
      <c r="C4">
        <v>1490769998.9372742</v>
      </c>
      <c r="D4">
        <v>1468562962.9839764</v>
      </c>
      <c r="E4">
        <v>1471233936.4645832</v>
      </c>
      <c r="F4">
        <v>42065830.285416842</v>
      </c>
      <c r="G4">
        <f t="shared" si="0"/>
        <v>507590437695334.69</v>
      </c>
      <c r="H4">
        <f t="shared" si="1"/>
        <v>22529767.812725782</v>
      </c>
      <c r="I4">
        <f t="shared" si="2"/>
        <v>1.4887841991221123E-2</v>
      </c>
      <c r="J4">
        <f t="shared" si="3"/>
        <v>2001381611199706.5</v>
      </c>
      <c r="K4">
        <f t="shared" si="4"/>
        <v>44736803.766023636</v>
      </c>
      <c r="L4">
        <f t="shared" si="5"/>
        <v>2.9562420314186332E-2</v>
      </c>
      <c r="M4">
        <f t="shared" si="6"/>
        <v>1769534077601492.8</v>
      </c>
      <c r="N4">
        <f t="shared" si="7"/>
        <v>42065830.285416842</v>
      </c>
      <c r="O4">
        <f t="shared" si="8"/>
        <v>2.7797420715763712E-2</v>
      </c>
      <c r="Q4" s="1" t="s">
        <v>30</v>
      </c>
      <c r="R4" s="1">
        <f>AVERAGE(I2:I141) * 100</f>
        <v>3.894158142911635</v>
      </c>
    </row>
    <row r="5" spans="1:18" x14ac:dyDescent="0.35">
      <c r="A5">
        <v>4</v>
      </c>
      <c r="B5">
        <v>1526879565.6800001</v>
      </c>
      <c r="C5">
        <v>1524834137.9008977</v>
      </c>
      <c r="D5">
        <v>1473000298.350929</v>
      </c>
      <c r="E5">
        <v>1471658382.4152992</v>
      </c>
      <c r="F5">
        <v>55221183.26470089</v>
      </c>
      <c r="G5">
        <f t="shared" si="0"/>
        <v>4183774799523.4712</v>
      </c>
      <c r="H5">
        <f t="shared" si="1"/>
        <v>2045427.7791023254</v>
      </c>
      <c r="I5">
        <f t="shared" si="2"/>
        <v>1.3396130415769816E-3</v>
      </c>
      <c r="J5">
        <f t="shared" si="3"/>
        <v>2902975447917502.5</v>
      </c>
      <c r="K5">
        <f t="shared" si="4"/>
        <v>53879267.329071045</v>
      </c>
      <c r="L5">
        <f t="shared" si="5"/>
        <v>3.5287175583541039E-2</v>
      </c>
      <c r="M5">
        <f t="shared" si="6"/>
        <v>3049379081153681.5</v>
      </c>
      <c r="N5">
        <f t="shared" si="7"/>
        <v>55221183.26470089</v>
      </c>
      <c r="O5">
        <f t="shared" si="8"/>
        <v>3.6166037260514379E-2</v>
      </c>
      <c r="Q5" s="1"/>
      <c r="R5" s="1"/>
    </row>
    <row r="6" spans="1:18" x14ac:dyDescent="0.35">
      <c r="A6">
        <v>5</v>
      </c>
      <c r="B6">
        <v>1571908444.4300001</v>
      </c>
      <c r="C6">
        <v>1524834137.9008977</v>
      </c>
      <c r="D6">
        <v>1479245547.2555041</v>
      </c>
      <c r="E6">
        <v>1475498636.0311046</v>
      </c>
      <c r="F6">
        <v>96409808.398895502</v>
      </c>
      <c r="G6">
        <f t="shared" si="0"/>
        <v>2215990335195885.8</v>
      </c>
      <c r="H6">
        <f t="shared" si="1"/>
        <v>47074306.529102325</v>
      </c>
      <c r="I6">
        <f t="shared" si="2"/>
        <v>2.9947231784337315E-2</v>
      </c>
      <c r="J6">
        <f t="shared" si="3"/>
        <v>8586412512771207</v>
      </c>
      <c r="K6">
        <f t="shared" si="4"/>
        <v>92662897.174495935</v>
      </c>
      <c r="L6">
        <f t="shared" si="5"/>
        <v>5.8949296635464686E-2</v>
      </c>
      <c r="M6">
        <f t="shared" si="6"/>
        <v>9294851155511742</v>
      </c>
      <c r="N6">
        <f t="shared" si="7"/>
        <v>96409808.398895502</v>
      </c>
      <c r="O6">
        <f t="shared" si="8"/>
        <v>6.1332966777117408E-2</v>
      </c>
      <c r="Q6" s="1" t="s">
        <v>31</v>
      </c>
      <c r="R6" s="1"/>
    </row>
    <row r="7" spans="1:18" x14ac:dyDescent="0.35">
      <c r="A7">
        <v>6</v>
      </c>
      <c r="B7">
        <v>1569868406.1400001</v>
      </c>
      <c r="C7">
        <v>1543881819.6471264</v>
      </c>
      <c r="D7">
        <v>1488705989.1191499</v>
      </c>
      <c r="E7">
        <v>1485751059.5116262</v>
      </c>
      <c r="F7">
        <v>84117346.628373861</v>
      </c>
      <c r="G7">
        <f t="shared" si="0"/>
        <v>675302677551604.25</v>
      </c>
      <c r="H7">
        <f t="shared" si="1"/>
        <v>25986586.492873669</v>
      </c>
      <c r="I7">
        <f t="shared" si="2"/>
        <v>1.655335338378432E-2</v>
      </c>
      <c r="J7">
        <f t="shared" si="3"/>
        <v>6587337936666391</v>
      </c>
      <c r="K7">
        <f t="shared" si="4"/>
        <v>81162417.020850182</v>
      </c>
      <c r="L7">
        <f t="shared" si="5"/>
        <v>5.1700140408846573E-2</v>
      </c>
      <c r="M7">
        <f t="shared" si="6"/>
        <v>7075728003797999</v>
      </c>
      <c r="N7">
        <f t="shared" si="7"/>
        <v>84117346.628373861</v>
      </c>
      <c r="O7">
        <f t="shared" si="8"/>
        <v>5.3582418946312826E-2</v>
      </c>
      <c r="Q7" s="1" t="s">
        <v>32</v>
      </c>
      <c r="R7" s="1">
        <f>SQRT(AVERAGE(J2:J141))</f>
        <v>62927542.682432897</v>
      </c>
    </row>
    <row r="8" spans="1:18" x14ac:dyDescent="0.35">
      <c r="A8">
        <v>7</v>
      </c>
      <c r="B8">
        <v>1530322997.1400001</v>
      </c>
      <c r="C8">
        <v>1547284768.9215629</v>
      </c>
      <c r="D8">
        <v>1500492013.8033667</v>
      </c>
      <c r="E8">
        <v>1493610988.916513</v>
      </c>
      <c r="F8">
        <v>36712008.223487139</v>
      </c>
      <c r="G8">
        <f t="shared" si="0"/>
        <v>287701701969820.25</v>
      </c>
      <c r="H8">
        <f t="shared" si="1"/>
        <v>16961771.781562805</v>
      </c>
      <c r="I8">
        <f t="shared" si="2"/>
        <v>1.1083785457882049E-2</v>
      </c>
      <c r="J8">
        <f t="shared" si="3"/>
        <v>889887566830502.25</v>
      </c>
      <c r="K8">
        <f t="shared" si="4"/>
        <v>29830983.336633444</v>
      </c>
      <c r="L8">
        <f t="shared" si="5"/>
        <v>1.949325952258717E-2</v>
      </c>
      <c r="M8">
        <f t="shared" si="6"/>
        <v>1347771547801387.3</v>
      </c>
      <c r="N8">
        <f t="shared" si="7"/>
        <v>36712008.223487139</v>
      </c>
      <c r="O8">
        <f t="shared" si="8"/>
        <v>2.3989712166711023E-2</v>
      </c>
      <c r="Q8" s="2" t="s">
        <v>33</v>
      </c>
      <c r="R8" s="1">
        <f>AVERAGE(K2:K141)</f>
        <v>46816226.674531445</v>
      </c>
    </row>
    <row r="9" spans="1:18" x14ac:dyDescent="0.35">
      <c r="A9">
        <v>8</v>
      </c>
      <c r="B9">
        <v>1530425427.6700001</v>
      </c>
      <c r="C9">
        <v>1528237087.175334</v>
      </c>
      <c r="D9">
        <v>1510693241.8396225</v>
      </c>
      <c r="E9">
        <v>1496871186.2428684</v>
      </c>
      <c r="F9">
        <v>33554241.427131653</v>
      </c>
      <c r="G9">
        <f t="shared" si="0"/>
        <v>4788834120595.4697</v>
      </c>
      <c r="H9">
        <f t="shared" si="1"/>
        <v>2188340.4946660995</v>
      </c>
      <c r="I9">
        <f t="shared" si="2"/>
        <v>1.4298903135697007E-3</v>
      </c>
      <c r="J9">
        <f t="shared" si="3"/>
        <v>389359157644553.69</v>
      </c>
      <c r="K9">
        <f t="shared" si="4"/>
        <v>19732185.830377579</v>
      </c>
      <c r="L9">
        <f t="shared" si="5"/>
        <v>1.2893268416494422E-2</v>
      </c>
      <c r="M9">
        <f t="shared" si="6"/>
        <v>1125887117750238</v>
      </c>
      <c r="N9">
        <f t="shared" si="7"/>
        <v>33554241.427131653</v>
      </c>
      <c r="O9">
        <f t="shared" si="8"/>
        <v>2.1924780404502551E-2</v>
      </c>
      <c r="Q9" s="2" t="s">
        <v>33</v>
      </c>
      <c r="R9" s="1">
        <f>AVERAGE(L2:L141) * 100</f>
        <v>3.6424933341460215</v>
      </c>
    </row>
    <row r="10" spans="1:18" x14ac:dyDescent="0.35">
      <c r="A10">
        <v>9</v>
      </c>
      <c r="B10">
        <v>1524480432.6300001</v>
      </c>
      <c r="C10">
        <v>1523639379.1027391</v>
      </c>
      <c r="D10">
        <v>1518140035.9152007</v>
      </c>
      <c r="E10">
        <v>1503139770.7452948</v>
      </c>
      <c r="F10">
        <v>21340661.884705305</v>
      </c>
      <c r="G10">
        <f t="shared" si="0"/>
        <v>707371035718.20117</v>
      </c>
      <c r="H10">
        <f t="shared" si="1"/>
        <v>841053.52726101875</v>
      </c>
      <c r="I10">
        <f t="shared" si="2"/>
        <v>5.5169847330218053E-4</v>
      </c>
      <c r="J10">
        <f t="shared" si="3"/>
        <v>40200630501039.078</v>
      </c>
      <c r="K10">
        <f t="shared" si="4"/>
        <v>6340396.7147994041</v>
      </c>
      <c r="L10">
        <f t="shared" si="5"/>
        <v>4.159054179436788E-3</v>
      </c>
      <c r="M10">
        <f t="shared" si="6"/>
        <v>455423849677313.81</v>
      </c>
      <c r="N10">
        <f t="shared" si="7"/>
        <v>21340661.884705305</v>
      </c>
      <c r="O10">
        <f t="shared" si="8"/>
        <v>1.3998645983201545E-2</v>
      </c>
      <c r="Q10" s="1"/>
      <c r="R10" s="1"/>
    </row>
    <row r="11" spans="1:18" x14ac:dyDescent="0.35">
      <c r="A11">
        <v>10</v>
      </c>
      <c r="B11">
        <v>1522350729.6099999</v>
      </c>
      <c r="C11">
        <v>1525216913.1411648</v>
      </c>
      <c r="D11">
        <v>1523161713.7018211</v>
      </c>
      <c r="E11">
        <v>1508213953.6270809</v>
      </c>
      <c r="F11">
        <v>14136775.982918978</v>
      </c>
      <c r="G11">
        <f t="shared" si="0"/>
        <v>8215008034320.8066</v>
      </c>
      <c r="H11">
        <f t="shared" si="1"/>
        <v>2866183.5311648846</v>
      </c>
      <c r="I11">
        <f t="shared" si="2"/>
        <v>1.8827353483117201E-3</v>
      </c>
      <c r="J11">
        <f t="shared" si="3"/>
        <v>657695197187.04639</v>
      </c>
      <c r="K11">
        <f t="shared" si="4"/>
        <v>810984.0918211937</v>
      </c>
      <c r="L11">
        <f t="shared" si="5"/>
        <v>5.3271829943481804E-4</v>
      </c>
      <c r="M11">
        <f t="shared" si="6"/>
        <v>199848435191234.84</v>
      </c>
      <c r="N11">
        <f t="shared" si="7"/>
        <v>14136775.982918978</v>
      </c>
      <c r="O11">
        <f t="shared" si="8"/>
        <v>9.2861491822850677E-3</v>
      </c>
      <c r="Q11" s="1" t="s">
        <v>34</v>
      </c>
      <c r="R11" s="1"/>
    </row>
    <row r="12" spans="1:18" x14ac:dyDescent="0.35">
      <c r="A12">
        <v>11</v>
      </c>
      <c r="B12">
        <v>1528497625.1300001</v>
      </c>
      <c r="C12">
        <v>1528323047.8980317</v>
      </c>
      <c r="D12">
        <v>1526100808.439374</v>
      </c>
      <c r="E12">
        <v>1513593285.1685262</v>
      </c>
      <c r="F12">
        <v>14904339.961473942</v>
      </c>
      <c r="G12">
        <f t="shared" si="0"/>
        <v>30477209921.749542</v>
      </c>
      <c r="H12">
        <f t="shared" si="1"/>
        <v>174577.23196840286</v>
      </c>
      <c r="I12">
        <f t="shared" si="2"/>
        <v>1.1421491868759358E-4</v>
      </c>
      <c r="J12">
        <f t="shared" si="3"/>
        <v>5744730248464.0625</v>
      </c>
      <c r="K12">
        <f t="shared" si="4"/>
        <v>2396816.6906261444</v>
      </c>
      <c r="L12">
        <f t="shared" si="5"/>
        <v>1.5680866304403273E-3</v>
      </c>
      <c r="M12">
        <f t="shared" si="6"/>
        <v>222139349687189.06</v>
      </c>
      <c r="N12">
        <f t="shared" si="7"/>
        <v>14904339.961473942</v>
      </c>
      <c r="O12">
        <f t="shared" si="8"/>
        <v>9.7509735811374346E-3</v>
      </c>
      <c r="Q12" s="1" t="s">
        <v>35</v>
      </c>
      <c r="R12" s="1">
        <f>SQRT(AVERAGE(M2:M141))</f>
        <v>69364214.827861175</v>
      </c>
    </row>
    <row r="13" spans="1:18" x14ac:dyDescent="0.35">
      <c r="A13">
        <v>12</v>
      </c>
      <c r="B13">
        <v>1538868018.79</v>
      </c>
      <c r="C13">
        <v>1532644181.5124183</v>
      </c>
      <c r="D13">
        <v>1527834905.2899151</v>
      </c>
      <c r="E13">
        <v>1525275609.3133113</v>
      </c>
      <c r="F13">
        <v>13592409.476688623</v>
      </c>
      <c r="G13">
        <f t="shared" si="0"/>
        <v>38736150457815.484</v>
      </c>
      <c r="H13">
        <f t="shared" si="1"/>
        <v>6223837.2775816917</v>
      </c>
      <c r="I13">
        <f t="shared" si="2"/>
        <v>4.044425643776421E-3</v>
      </c>
      <c r="J13">
        <f t="shared" si="3"/>
        <v>121729593505755.17</v>
      </c>
      <c r="K13">
        <f t="shared" si="4"/>
        <v>11033113.500084877</v>
      </c>
      <c r="L13">
        <f t="shared" si="5"/>
        <v>7.1696294713825617E-3</v>
      </c>
      <c r="M13">
        <f t="shared" si="6"/>
        <v>184753595381974.69</v>
      </c>
      <c r="N13">
        <f t="shared" si="7"/>
        <v>13592409.476688623</v>
      </c>
      <c r="O13">
        <f t="shared" si="8"/>
        <v>8.8327324440573077E-3</v>
      </c>
      <c r="Q13" s="1" t="s">
        <v>36</v>
      </c>
      <c r="R13" s="1">
        <f>AVERAGE(N2:N141)</f>
        <v>52384889.262969144</v>
      </c>
    </row>
    <row r="14" spans="1:18" x14ac:dyDescent="0.35">
      <c r="A14">
        <v>13</v>
      </c>
      <c r="B14">
        <v>1606777277.8499999</v>
      </c>
      <c r="C14">
        <v>1540737228.7774737</v>
      </c>
      <c r="D14">
        <v>1529399699.9968607</v>
      </c>
      <c r="E14">
        <v>1531441683.8680334</v>
      </c>
      <c r="F14">
        <v>75335593.981966496</v>
      </c>
      <c r="G14">
        <f t="shared" si="0"/>
        <v>4361288081501671</v>
      </c>
      <c r="H14">
        <f t="shared" si="1"/>
        <v>66040049.072526217</v>
      </c>
      <c r="I14">
        <f t="shared" si="2"/>
        <v>4.1100935383461004E-2</v>
      </c>
      <c r="J14">
        <f t="shared" si="3"/>
        <v>5987289554418612</v>
      </c>
      <c r="K14">
        <f t="shared" si="4"/>
        <v>77377577.853139162</v>
      </c>
      <c r="L14">
        <f t="shared" si="5"/>
        <v>4.8157002790502938E-2</v>
      </c>
      <c r="M14">
        <f t="shared" si="6"/>
        <v>5675451720615706</v>
      </c>
      <c r="N14">
        <f t="shared" si="7"/>
        <v>75335593.981966496</v>
      </c>
      <c r="O14">
        <f t="shared" si="8"/>
        <v>4.6886145964655235E-2</v>
      </c>
      <c r="Q14" s="2" t="s">
        <v>37</v>
      </c>
      <c r="R14" s="1">
        <f>AVERAGE(O2:O141) * 100</f>
        <v>4.1171583533447231</v>
      </c>
    </row>
    <row r="15" spans="1:18" x14ac:dyDescent="0.35">
      <c r="A15">
        <v>14</v>
      </c>
      <c r="B15">
        <v>1633976502.3399999</v>
      </c>
      <c r="C15">
        <v>1595792333.3043213</v>
      </c>
      <c r="D15">
        <v>1534408281.2744827</v>
      </c>
      <c r="E15">
        <v>1548667998.3901236</v>
      </c>
      <c r="F15">
        <v>85308503.949876308</v>
      </c>
      <c r="G15">
        <f t="shared" si="0"/>
        <v>1458030764945278.3</v>
      </c>
      <c r="H15">
        <f t="shared" si="1"/>
        <v>38184169.035678625</v>
      </c>
      <c r="I15">
        <f t="shared" si="2"/>
        <v>2.3368860556437315E-2</v>
      </c>
      <c r="J15">
        <f t="shared" si="3"/>
        <v>9913830646151700</v>
      </c>
      <c r="K15">
        <f t="shared" si="4"/>
        <v>99568221.065517187</v>
      </c>
      <c r="L15">
        <f t="shared" si="5"/>
        <v>6.0936140099277211E-2</v>
      </c>
      <c r="M15">
        <f t="shared" si="6"/>
        <v>7277540846166062</v>
      </c>
      <c r="N15">
        <f t="shared" si="7"/>
        <v>85308503.949876308</v>
      </c>
      <c r="O15">
        <f t="shared" si="8"/>
        <v>5.2209137541272432E-2</v>
      </c>
    </row>
    <row r="16" spans="1:18" x14ac:dyDescent="0.35">
      <c r="A16">
        <v>15</v>
      </c>
      <c r="B16">
        <v>1613936037.48</v>
      </c>
      <c r="C16">
        <v>1608862530.2254028</v>
      </c>
      <c r="D16">
        <v>1544256736.9819946</v>
      </c>
      <c r="E16">
        <v>1584683517.1944866</v>
      </c>
      <c r="F16">
        <v>29252520.285513401</v>
      </c>
      <c r="G16">
        <f t="shared" si="0"/>
        <v>25740475862450.285</v>
      </c>
      <c r="H16">
        <f t="shared" si="1"/>
        <v>5073507.254597187</v>
      </c>
      <c r="I16">
        <f t="shared" si="2"/>
        <v>3.1435615394764726E-3</v>
      </c>
      <c r="J16">
        <f t="shared" si="3"/>
        <v>4855204917891334</v>
      </c>
      <c r="K16">
        <f t="shared" si="4"/>
        <v>69679300.49800539</v>
      </c>
      <c r="L16">
        <f t="shared" si="5"/>
        <v>4.3173520436908183E-2</v>
      </c>
      <c r="M16">
        <f t="shared" si="6"/>
        <v>855709943054373</v>
      </c>
      <c r="N16">
        <f t="shared" si="7"/>
        <v>29252520.285513401</v>
      </c>
      <c r="O16">
        <f t="shared" si="8"/>
        <v>1.8124956383766169E-2</v>
      </c>
    </row>
    <row r="17" spans="1:15" x14ac:dyDescent="0.35">
      <c r="A17">
        <v>16</v>
      </c>
      <c r="B17">
        <v>1615243787.02</v>
      </c>
      <c r="C17">
        <v>1608570359.0155692</v>
      </c>
      <c r="D17">
        <v>1555881198.3688421</v>
      </c>
      <c r="E17">
        <v>1575882782.2068346</v>
      </c>
      <c r="F17">
        <v>39361004.813165426</v>
      </c>
      <c r="G17">
        <f t="shared" si="0"/>
        <v>44534641330320.859</v>
      </c>
      <c r="H17">
        <f t="shared" si="1"/>
        <v>6673428.0044307709</v>
      </c>
      <c r="I17">
        <f t="shared" si="2"/>
        <v>4.1315299015901065E-3</v>
      </c>
      <c r="J17">
        <f t="shared" si="3"/>
        <v>3523916931366575.5</v>
      </c>
      <c r="K17">
        <f t="shared" si="4"/>
        <v>59362588.651157856</v>
      </c>
      <c r="L17">
        <f t="shared" si="5"/>
        <v>3.6751473138724927E-2</v>
      </c>
      <c r="M17">
        <f t="shared" si="6"/>
        <v>1549288699902031.8</v>
      </c>
      <c r="N17">
        <f t="shared" si="7"/>
        <v>39361004.813165426</v>
      </c>
      <c r="O17">
        <f t="shared" si="8"/>
        <v>2.4368460742253305E-2</v>
      </c>
    </row>
    <row r="18" spans="1:15" x14ac:dyDescent="0.35">
      <c r="A18">
        <v>17</v>
      </c>
      <c r="B18">
        <v>1608054100.3099999</v>
      </c>
      <c r="C18">
        <v>1607390244.4956541</v>
      </c>
      <c r="D18">
        <v>1567162531.2199357</v>
      </c>
      <c r="E18">
        <v>1602544178.9887831</v>
      </c>
      <c r="F18">
        <v>5509921.3212168217</v>
      </c>
      <c r="G18">
        <f t="shared" si="0"/>
        <v>440704542240.77393</v>
      </c>
      <c r="H18">
        <f t="shared" si="1"/>
        <v>663855.81434583664</v>
      </c>
      <c r="I18">
        <f t="shared" si="2"/>
        <v>4.1283176618116192E-4</v>
      </c>
      <c r="J18">
        <f t="shared" si="3"/>
        <v>1672120422647501</v>
      </c>
      <c r="K18">
        <f t="shared" si="4"/>
        <v>40891569.090064287</v>
      </c>
      <c r="L18">
        <f t="shared" si="5"/>
        <v>2.5429224727066851E-2</v>
      </c>
      <c r="M18">
        <f t="shared" si="6"/>
        <v>30359232965999.727</v>
      </c>
      <c r="N18">
        <f t="shared" si="7"/>
        <v>5509921.3212168217</v>
      </c>
      <c r="O18">
        <f t="shared" si="8"/>
        <v>3.4264527046413561E-3</v>
      </c>
    </row>
    <row r="19" spans="1:15" x14ac:dyDescent="0.35">
      <c r="A19">
        <v>18</v>
      </c>
      <c r="B19">
        <v>1582421504.54</v>
      </c>
      <c r="C19">
        <v>1607021756.3561125</v>
      </c>
      <c r="D19">
        <v>1577107662.9756892</v>
      </c>
      <c r="E19">
        <v>1609438300.3846352</v>
      </c>
      <c r="F19">
        <v>27016795.844635248</v>
      </c>
      <c r="G19">
        <f t="shared" si="0"/>
        <v>605172389416147.25</v>
      </c>
      <c r="H19">
        <f t="shared" si="1"/>
        <v>24600251.816112518</v>
      </c>
      <c r="I19">
        <f t="shared" si="2"/>
        <v>1.5545953935493096E-2</v>
      </c>
      <c r="J19">
        <f t="shared" si="3"/>
        <v>28236912170596.934</v>
      </c>
      <c r="K19">
        <f t="shared" si="4"/>
        <v>5313841.5643107891</v>
      </c>
      <c r="L19">
        <f t="shared" si="5"/>
        <v>3.3580443320981599E-3</v>
      </c>
      <c r="M19">
        <f t="shared" si="6"/>
        <v>729907257710700.38</v>
      </c>
      <c r="N19">
        <f t="shared" si="7"/>
        <v>27016795.844635248</v>
      </c>
      <c r="O19">
        <f t="shared" si="8"/>
        <v>1.7073071724015065E-2</v>
      </c>
    </row>
    <row r="20" spans="1:15" x14ac:dyDescent="0.35">
      <c r="A20">
        <v>19</v>
      </c>
      <c r="B20">
        <v>1568454906.2</v>
      </c>
      <c r="C20">
        <v>1582672845.8857369</v>
      </c>
      <c r="D20">
        <v>1584052860.7566345</v>
      </c>
      <c r="E20">
        <v>1596957089.1909566</v>
      </c>
      <c r="F20">
        <v>28502182.990956545</v>
      </c>
      <c r="G20">
        <f t="shared" si="0"/>
        <v>202149808907252.16</v>
      </c>
      <c r="H20">
        <f t="shared" si="1"/>
        <v>14217939.685736895</v>
      </c>
      <c r="I20">
        <f t="shared" si="2"/>
        <v>9.0649336678627519E-3</v>
      </c>
      <c r="J20">
        <f t="shared" si="3"/>
        <v>243296186350832.66</v>
      </c>
      <c r="K20">
        <f t="shared" si="4"/>
        <v>15597954.556634426</v>
      </c>
      <c r="L20">
        <f t="shared" si="5"/>
        <v>9.9447899298709379E-3</v>
      </c>
      <c r="M20">
        <f t="shared" si="6"/>
        <v>812374435249972.63</v>
      </c>
      <c r="N20">
        <f t="shared" si="7"/>
        <v>28502182.990956545</v>
      </c>
      <c r="O20">
        <f t="shared" si="8"/>
        <v>1.8172140543084327E-2</v>
      </c>
    </row>
    <row r="21" spans="1:15" x14ac:dyDescent="0.35">
      <c r="A21">
        <v>20</v>
      </c>
      <c r="B21">
        <v>1498742012.27</v>
      </c>
      <c r="C21">
        <v>1558793623.8517077</v>
      </c>
      <c r="D21">
        <v>1587332821.9056602</v>
      </c>
      <c r="E21">
        <v>1585979952.5261407</v>
      </c>
      <c r="F21">
        <v>87237940.256140709</v>
      </c>
      <c r="G21">
        <f t="shared" si="0"/>
        <v>3606196053560292.5</v>
      </c>
      <c r="H21">
        <f t="shared" si="1"/>
        <v>60051611.581707716</v>
      </c>
      <c r="I21">
        <f t="shared" si="2"/>
        <v>4.0068011098690251E-2</v>
      </c>
      <c r="J21">
        <f t="shared" si="3"/>
        <v>7848331551901779</v>
      </c>
      <c r="K21">
        <f t="shared" si="4"/>
        <v>88590809.635660172</v>
      </c>
      <c r="L21">
        <f t="shared" si="5"/>
        <v>5.9110112954984306E-2</v>
      </c>
      <c r="M21">
        <f t="shared" si="6"/>
        <v>7610458220133976</v>
      </c>
      <c r="N21">
        <f t="shared" si="7"/>
        <v>87237940.256140709</v>
      </c>
      <c r="O21">
        <f t="shared" si="8"/>
        <v>5.8207443003489186E-2</v>
      </c>
    </row>
    <row r="22" spans="1:15" x14ac:dyDescent="0.35">
      <c r="A22">
        <v>21</v>
      </c>
      <c r="B22">
        <v>1510805759.45</v>
      </c>
      <c r="C22">
        <v>1493835296.3979011</v>
      </c>
      <c r="D22">
        <v>1584330982.9840882</v>
      </c>
      <c r="E22">
        <v>1565169361.6095746</v>
      </c>
      <c r="F22">
        <v>54363602.159574509</v>
      </c>
      <c r="G22">
        <f t="shared" si="0"/>
        <v>287996616202656.94</v>
      </c>
      <c r="H22">
        <f t="shared" si="1"/>
        <v>16970463.052098989</v>
      </c>
      <c r="I22">
        <f t="shared" si="2"/>
        <v>1.1232723297452207E-2</v>
      </c>
      <c r="J22">
        <f t="shared" si="3"/>
        <v>5405958495737628</v>
      </c>
      <c r="K22">
        <f t="shared" si="4"/>
        <v>73525223.534088135</v>
      </c>
      <c r="L22">
        <f t="shared" si="5"/>
        <v>4.8666231958802278E-2</v>
      </c>
      <c r="M22">
        <f t="shared" si="6"/>
        <v>2955401239764494</v>
      </c>
      <c r="N22">
        <f t="shared" si="7"/>
        <v>54363602.159574509</v>
      </c>
      <c r="O22">
        <f t="shared" si="8"/>
        <v>3.598318435016111E-2</v>
      </c>
    </row>
    <row r="23" spans="1:15" x14ac:dyDescent="0.35">
      <c r="A23">
        <v>22</v>
      </c>
      <c r="B23">
        <v>1505384634.5</v>
      </c>
      <c r="C23">
        <v>1503912583.8353643</v>
      </c>
      <c r="D23">
        <v>1576566658.0948887</v>
      </c>
      <c r="E23">
        <v>1561208143.8742945</v>
      </c>
      <c r="F23">
        <v>55823509.374294519</v>
      </c>
      <c r="G23">
        <f t="shared" si="0"/>
        <v>2166933159254.2832</v>
      </c>
      <c r="H23">
        <f t="shared" si="1"/>
        <v>1472050.6646356583</v>
      </c>
      <c r="I23">
        <f t="shared" si="2"/>
        <v>9.7785684196556632E-4</v>
      </c>
      <c r="J23">
        <f t="shared" si="3"/>
        <v>5066880483063290</v>
      </c>
      <c r="K23">
        <f t="shared" si="4"/>
        <v>71182023.594888687</v>
      </c>
      <c r="L23">
        <f t="shared" si="5"/>
        <v>4.7284940980237361E-2</v>
      </c>
      <c r="M23">
        <f t="shared" si="6"/>
        <v>3116264198861948</v>
      </c>
      <c r="N23">
        <f t="shared" si="7"/>
        <v>55823509.374294519</v>
      </c>
      <c r="O23">
        <f t="shared" si="8"/>
        <v>3.7082555577455989E-2</v>
      </c>
    </row>
    <row r="24" spans="1:15" x14ac:dyDescent="0.35">
      <c r="A24">
        <v>23</v>
      </c>
      <c r="B24">
        <v>1501646846.5999999</v>
      </c>
      <c r="C24">
        <v>1512750941.5215931</v>
      </c>
      <c r="D24">
        <v>1566673912.375128</v>
      </c>
      <c r="E24">
        <v>1570902179.8347998</v>
      </c>
      <c r="F24">
        <v>69255333.234799862</v>
      </c>
      <c r="G24">
        <f t="shared" si="0"/>
        <v>123300924027751.66</v>
      </c>
      <c r="H24">
        <f t="shared" si="1"/>
        <v>11104094.921593189</v>
      </c>
      <c r="I24">
        <f t="shared" si="2"/>
        <v>7.3946114206112235E-3</v>
      </c>
      <c r="J24">
        <f t="shared" si="3"/>
        <v>4228519283322839.5</v>
      </c>
      <c r="K24">
        <f t="shared" si="4"/>
        <v>65027065.775128126</v>
      </c>
      <c r="L24">
        <f t="shared" si="5"/>
        <v>4.3303834002223068E-2</v>
      </c>
      <c r="M24">
        <f t="shared" si="6"/>
        <v>4796301181463174</v>
      </c>
      <c r="N24">
        <f t="shared" si="7"/>
        <v>69255333.234799862</v>
      </c>
      <c r="O24">
        <f t="shared" si="8"/>
        <v>4.6119587565882393E-2</v>
      </c>
    </row>
    <row r="25" spans="1:15" x14ac:dyDescent="0.35">
      <c r="A25">
        <v>24</v>
      </c>
      <c r="B25">
        <v>1495050945.5599999</v>
      </c>
      <c r="C25">
        <v>1510657285.9694636</v>
      </c>
      <c r="D25">
        <v>1555877745.6528337</v>
      </c>
      <c r="E25">
        <v>1564411311.8569212</v>
      </c>
      <c r="F25">
        <v>69360366.296921253</v>
      </c>
      <c r="G25">
        <f t="shared" si="0"/>
        <v>243557860976057.88</v>
      </c>
      <c r="H25">
        <f t="shared" si="1"/>
        <v>15606340.409463644</v>
      </c>
      <c r="I25">
        <f t="shared" si="2"/>
        <v>1.0438667963664603E-2</v>
      </c>
      <c r="J25">
        <f t="shared" si="3"/>
        <v>3699899609533561</v>
      </c>
      <c r="K25">
        <f t="shared" si="4"/>
        <v>60826800.092833757</v>
      </c>
      <c r="L25">
        <f t="shared" si="5"/>
        <v>4.0685436354846033E-2</v>
      </c>
      <c r="M25">
        <f t="shared" si="6"/>
        <v>4810860412843090</v>
      </c>
      <c r="N25">
        <f t="shared" si="7"/>
        <v>69360366.296921253</v>
      </c>
      <c r="O25">
        <f t="shared" si="8"/>
        <v>4.6393312885361908E-2</v>
      </c>
    </row>
    <row r="26" spans="1:15" x14ac:dyDescent="0.35">
      <c r="A26">
        <v>25</v>
      </c>
      <c r="B26">
        <v>1455261423.72</v>
      </c>
      <c r="C26">
        <v>1490779999.9077818</v>
      </c>
      <c r="D26">
        <v>1544896918.1536636</v>
      </c>
      <c r="E26">
        <v>1558188207.9584706</v>
      </c>
      <c r="F26">
        <v>102926784.23847055</v>
      </c>
      <c r="G26">
        <f t="shared" si="0"/>
        <v>1261569254407261</v>
      </c>
      <c r="H26">
        <f t="shared" si="1"/>
        <v>35518576.187781811</v>
      </c>
      <c r="I26">
        <f t="shared" si="2"/>
        <v>2.4407007297003548E-2</v>
      </c>
      <c r="J26">
        <f t="shared" si="3"/>
        <v>8034521862367339</v>
      </c>
      <c r="K26">
        <f t="shared" si="4"/>
        <v>89635494.433663607</v>
      </c>
      <c r="L26">
        <f t="shared" si="5"/>
        <v>6.1594084040607365E-2</v>
      </c>
      <c r="M26">
        <f t="shared" si="6"/>
        <v>1.059392291367267E+16</v>
      </c>
      <c r="N26">
        <f t="shared" si="7"/>
        <v>102926784.23847055</v>
      </c>
      <c r="O26">
        <f t="shared" si="8"/>
        <v>7.0727350124738964E-2</v>
      </c>
    </row>
    <row r="27" spans="1:15" x14ac:dyDescent="0.35">
      <c r="A27">
        <v>26</v>
      </c>
      <c r="B27">
        <v>1477680136.3800001</v>
      </c>
      <c r="C27">
        <v>1477661107.7850611</v>
      </c>
      <c r="D27">
        <v>1532422374.2736568</v>
      </c>
      <c r="E27">
        <v>1549492125.9836318</v>
      </c>
      <c r="F27">
        <v>71811989.603631735</v>
      </c>
      <c r="G27">
        <f t="shared" si="0"/>
        <v>362087425.35228729</v>
      </c>
      <c r="H27">
        <f t="shared" si="1"/>
        <v>19028.594938993454</v>
      </c>
      <c r="I27">
        <f t="shared" si="2"/>
        <v>1.2877343662214636E-5</v>
      </c>
      <c r="J27">
        <f t="shared" si="3"/>
        <v>2996712609605707</v>
      </c>
      <c r="K27">
        <f t="shared" si="4"/>
        <v>54742237.893656731</v>
      </c>
      <c r="L27">
        <f t="shared" si="5"/>
        <v>3.7046067376775793E-2</v>
      </c>
      <c r="M27">
        <f t="shared" si="6"/>
        <v>5156961850832112</v>
      </c>
      <c r="N27">
        <f t="shared" si="7"/>
        <v>71811989.603631735</v>
      </c>
      <c r="O27">
        <f t="shared" si="8"/>
        <v>4.859779043897533E-2</v>
      </c>
    </row>
    <row r="28" spans="1:15" x14ac:dyDescent="0.35">
      <c r="A28">
        <v>27</v>
      </c>
      <c r="B28">
        <v>1486311034.8800001</v>
      </c>
      <c r="C28">
        <v>1469889758.4046719</v>
      </c>
      <c r="D28">
        <v>1520033076.7613115</v>
      </c>
      <c r="E28">
        <v>1535655068.9311161</v>
      </c>
      <c r="F28">
        <v>49344034.05111599</v>
      </c>
      <c r="G28">
        <f t="shared" si="0"/>
        <v>269658321079167.59</v>
      </c>
      <c r="H28">
        <f t="shared" si="1"/>
        <v>16421276.475328207</v>
      </c>
      <c r="I28">
        <f t="shared" si="2"/>
        <v>1.1048344585999799E-2</v>
      </c>
      <c r="J28">
        <f t="shared" si="3"/>
        <v>1137176108644921.3</v>
      </c>
      <c r="K28">
        <f t="shared" si="4"/>
        <v>33722041.881311417</v>
      </c>
      <c r="L28">
        <f t="shared" si="5"/>
        <v>2.2688415203775989E-2</v>
      </c>
      <c r="M28">
        <f t="shared" si="6"/>
        <v>2434833696437694.5</v>
      </c>
      <c r="N28">
        <f t="shared" si="7"/>
        <v>49344034.05111599</v>
      </c>
      <c r="O28">
        <f t="shared" si="8"/>
        <v>3.3198995965941856E-2</v>
      </c>
    </row>
    <row r="29" spans="1:15" x14ac:dyDescent="0.35">
      <c r="A29">
        <v>28</v>
      </c>
      <c r="B29">
        <v>1493065973.25</v>
      </c>
      <c r="C29">
        <v>1474040042.1062176</v>
      </c>
      <c r="D29">
        <v>1509691120.7829108</v>
      </c>
      <c r="E29">
        <v>1526581569.3787825</v>
      </c>
      <c r="F29">
        <v>33515596.128782511</v>
      </c>
      <c r="G29">
        <f t="shared" si="0"/>
        <v>361986055887948.19</v>
      </c>
      <c r="H29">
        <f t="shared" si="1"/>
        <v>19025931.143782377</v>
      </c>
      <c r="I29">
        <f t="shared" si="2"/>
        <v>1.2742860318736005E-2</v>
      </c>
      <c r="J29">
        <f t="shared" si="3"/>
        <v>276395530491050.84</v>
      </c>
      <c r="K29">
        <f t="shared" si="4"/>
        <v>16625147.532910824</v>
      </c>
      <c r="L29">
        <f t="shared" si="5"/>
        <v>1.1134904840622939E-2</v>
      </c>
      <c r="M29">
        <f t="shared" si="6"/>
        <v>1123295183867661.3</v>
      </c>
      <c r="N29">
        <f t="shared" si="7"/>
        <v>33515596.128782511</v>
      </c>
      <c r="O29">
        <f t="shared" si="8"/>
        <v>2.2447498455696595E-2</v>
      </c>
    </row>
    <row r="30" spans="1:15" x14ac:dyDescent="0.35">
      <c r="A30">
        <v>29</v>
      </c>
      <c r="B30">
        <v>1419615658.53</v>
      </c>
      <c r="C30">
        <v>1467988859.653162</v>
      </c>
      <c r="D30">
        <v>1501874290.7985458</v>
      </c>
      <c r="E30">
        <v>1505278430.6647093</v>
      </c>
      <c r="F30">
        <v>85662772.134709358</v>
      </c>
      <c r="G30">
        <f t="shared" si="0"/>
        <v>2339966586901884.5</v>
      </c>
      <c r="H30">
        <f t="shared" si="1"/>
        <v>48373201.123162031</v>
      </c>
      <c r="I30">
        <f t="shared" si="2"/>
        <v>3.4074857397143728E-2</v>
      </c>
      <c r="J30">
        <f t="shared" si="3"/>
        <v>6766482582691855</v>
      </c>
      <c r="K30">
        <f t="shared" si="4"/>
        <v>82258632.268545866</v>
      </c>
      <c r="L30">
        <f t="shared" si="5"/>
        <v>5.794429765146715E-2</v>
      </c>
      <c r="M30">
        <f t="shared" si="6"/>
        <v>7338110529803138</v>
      </c>
      <c r="N30">
        <f t="shared" si="7"/>
        <v>85662772.134709358</v>
      </c>
      <c r="O30">
        <f t="shared" si="8"/>
        <v>6.0342228278471112E-2</v>
      </c>
    </row>
    <row r="31" spans="1:15" x14ac:dyDescent="0.35">
      <c r="A31">
        <v>30</v>
      </c>
      <c r="B31">
        <v>1411132057.8399999</v>
      </c>
      <c r="C31">
        <v>1421801520.4282031</v>
      </c>
      <c r="D31">
        <v>1492613511.167537</v>
      </c>
      <c r="E31">
        <v>1477407630.8063588</v>
      </c>
      <c r="F31">
        <v>66275572.9663589</v>
      </c>
      <c r="G31">
        <f t="shared" si="0"/>
        <v>113837431921067.55</v>
      </c>
      <c r="H31">
        <f t="shared" si="1"/>
        <v>10669462.588203192</v>
      </c>
      <c r="I31">
        <f t="shared" si="2"/>
        <v>7.5609242444217364E-3</v>
      </c>
      <c r="J31">
        <f t="shared" si="3"/>
        <v>6639227236367600</v>
      </c>
      <c r="K31">
        <f t="shared" si="4"/>
        <v>81481453.32753706</v>
      </c>
      <c r="L31">
        <f t="shared" si="5"/>
        <v>5.7741905071775908E-2</v>
      </c>
      <c r="M31">
        <f t="shared" si="6"/>
        <v>4392451572019162.5</v>
      </c>
      <c r="N31">
        <f t="shared" si="7"/>
        <v>66275572.9663589</v>
      </c>
      <c r="O31">
        <f t="shared" si="8"/>
        <v>4.6966244298783766E-2</v>
      </c>
    </row>
    <row r="32" spans="1:15" x14ac:dyDescent="0.35">
      <c r="A32">
        <v>31</v>
      </c>
      <c r="B32">
        <v>1318751256.23</v>
      </c>
      <c r="C32">
        <v>1413574055.3571565</v>
      </c>
      <c r="D32">
        <v>1480772838.3230457</v>
      </c>
      <c r="E32">
        <v>1457951099.8610389</v>
      </c>
      <c r="F32">
        <v>139199843.6310389</v>
      </c>
      <c r="G32">
        <f t="shared" si="0"/>
        <v>8991363234309071</v>
      </c>
      <c r="H32">
        <f t="shared" si="1"/>
        <v>94822799.127156496</v>
      </c>
      <c r="I32">
        <f t="shared" si="2"/>
        <v>7.1903475867187108E-2</v>
      </c>
      <c r="J32">
        <f t="shared" si="3"/>
        <v>2.6250993063933552E+16</v>
      </c>
      <c r="K32">
        <f t="shared" si="4"/>
        <v>162021582.09304571</v>
      </c>
      <c r="L32">
        <f t="shared" si="5"/>
        <v>0.12285985042867549</v>
      </c>
      <c r="M32">
        <f t="shared" si="6"/>
        <v>1.9376596466905684E+16</v>
      </c>
      <c r="N32">
        <f t="shared" si="7"/>
        <v>139199843.6310389</v>
      </c>
      <c r="O32">
        <f t="shared" si="8"/>
        <v>0.1055542832459387</v>
      </c>
    </row>
    <row r="33" spans="1:15" x14ac:dyDescent="0.35">
      <c r="A33">
        <v>32</v>
      </c>
      <c r="B33">
        <v>1291445639.9100001</v>
      </c>
      <c r="C33">
        <v>1371623436.7931316</v>
      </c>
      <c r="D33">
        <v>1463521283.2563405</v>
      </c>
      <c r="E33">
        <v>1445944577.5889606</v>
      </c>
      <c r="F33">
        <v>154498937.67896056</v>
      </c>
      <c r="G33">
        <f t="shared" si="0"/>
        <v>6428479113032692</v>
      </c>
      <c r="H33">
        <f t="shared" si="1"/>
        <v>80177796.883131504</v>
      </c>
      <c r="I33">
        <f t="shared" si="2"/>
        <v>6.2083756687365516E-2</v>
      </c>
      <c r="J33">
        <f t="shared" si="3"/>
        <v>2.9610027033056948E+16</v>
      </c>
      <c r="K33">
        <f t="shared" si="4"/>
        <v>172075643.34634042</v>
      </c>
      <c r="L33">
        <f t="shared" si="5"/>
        <v>0.13324265306151969</v>
      </c>
      <c r="M33">
        <f t="shared" si="6"/>
        <v>2.386992174392734E+16</v>
      </c>
      <c r="N33">
        <f t="shared" si="7"/>
        <v>154498937.67896056</v>
      </c>
      <c r="O33">
        <f t="shared" si="8"/>
        <v>0.11963255200561712</v>
      </c>
    </row>
    <row r="34" spans="1:15" x14ac:dyDescent="0.35">
      <c r="A34">
        <v>33</v>
      </c>
      <c r="B34">
        <v>1319311560.72</v>
      </c>
      <c r="C34">
        <v>1351451003.0422983</v>
      </c>
      <c r="D34">
        <v>1440483571.4550354</v>
      </c>
      <c r="E34">
        <v>1437152057.6842258</v>
      </c>
      <c r="F34">
        <v>117840496.96422577</v>
      </c>
      <c r="G34">
        <f t="shared" si="0"/>
        <v>1032943752788338.4</v>
      </c>
      <c r="H34">
        <f t="shared" si="1"/>
        <v>32139442.322298288</v>
      </c>
      <c r="I34">
        <f t="shared" si="2"/>
        <v>2.4360767599700663E-2</v>
      </c>
      <c r="J34">
        <f t="shared" si="3"/>
        <v>1.4682656185571538E+16</v>
      </c>
      <c r="K34">
        <f t="shared" si="4"/>
        <v>121172010.73503542</v>
      </c>
      <c r="L34">
        <f t="shared" si="5"/>
        <v>9.1844879058671405E-2</v>
      </c>
      <c r="M34">
        <f t="shared" si="6"/>
        <v>1.3886382724775702E+16</v>
      </c>
      <c r="N34">
        <f t="shared" si="7"/>
        <v>117840496.96422577</v>
      </c>
      <c r="O34">
        <f t="shared" si="8"/>
        <v>8.9319687989329516E-2</v>
      </c>
    </row>
    <row r="35" spans="1:15" x14ac:dyDescent="0.35">
      <c r="A35">
        <v>34</v>
      </c>
      <c r="B35">
        <v>1268072097.9300001</v>
      </c>
      <c r="C35">
        <v>1347180350.5171416</v>
      </c>
      <c r="D35">
        <v>1416491243.2069304</v>
      </c>
      <c r="E35">
        <v>1420730940.3471825</v>
      </c>
      <c r="F35">
        <v>152658842.41718245</v>
      </c>
      <c r="G35">
        <f t="shared" si="0"/>
        <v>6258115627390982</v>
      </c>
      <c r="H35">
        <f t="shared" si="1"/>
        <v>79108252.587141514</v>
      </c>
      <c r="I35">
        <f t="shared" si="2"/>
        <v>6.2384664654539568E-2</v>
      </c>
      <c r="J35">
        <f t="shared" si="3"/>
        <v>2.2028242684734552E+16</v>
      </c>
      <c r="K35">
        <f t="shared" si="4"/>
        <v>148419145.27693033</v>
      </c>
      <c r="L35">
        <f t="shared" si="5"/>
        <v>0.11704314409189322</v>
      </c>
      <c r="M35">
        <f t="shared" si="6"/>
        <v>2.3304722168154144E+16</v>
      </c>
      <c r="N35">
        <f t="shared" si="7"/>
        <v>152658842.41718245</v>
      </c>
      <c r="O35">
        <f t="shared" si="8"/>
        <v>0.1203865637185635</v>
      </c>
    </row>
    <row r="36" spans="1:15" x14ac:dyDescent="0.35">
      <c r="A36">
        <v>35</v>
      </c>
      <c r="B36">
        <v>1227283646.6700001</v>
      </c>
      <c r="C36">
        <v>1359975520.7492599</v>
      </c>
      <c r="D36">
        <v>1391931240.8233378</v>
      </c>
      <c r="E36">
        <v>1401093558.5185142</v>
      </c>
      <c r="F36">
        <v>173809911.84851408</v>
      </c>
      <c r="G36">
        <f t="shared" si="0"/>
        <v>1.7607133446666158E+16</v>
      </c>
      <c r="H36">
        <f t="shared" si="1"/>
        <v>132691874.07925987</v>
      </c>
      <c r="I36">
        <f t="shared" si="2"/>
        <v>0.10811834284543263</v>
      </c>
      <c r="J36">
        <f t="shared" si="3"/>
        <v>2.7108830260482208E+16</v>
      </c>
      <c r="K36">
        <f t="shared" si="4"/>
        <v>164647594.15333772</v>
      </c>
      <c r="L36">
        <f t="shared" si="5"/>
        <v>0.13415610531442959</v>
      </c>
      <c r="M36">
        <f t="shared" si="6"/>
        <v>3.0209885456788236E+16</v>
      </c>
      <c r="N36">
        <f t="shared" si="7"/>
        <v>173809911.84851408</v>
      </c>
      <c r="O36">
        <f t="shared" si="8"/>
        <v>0.14162163108757631</v>
      </c>
    </row>
    <row r="37" spans="1:15" x14ac:dyDescent="0.35">
      <c r="A37">
        <v>36</v>
      </c>
      <c r="B37">
        <v>1058847188.9700001</v>
      </c>
      <c r="C37">
        <v>1353404287.8298011</v>
      </c>
      <c r="D37">
        <v>1365392236.8709366</v>
      </c>
      <c r="E37">
        <v>1390132137.6644962</v>
      </c>
      <c r="F37">
        <v>331284948.69449604</v>
      </c>
      <c r="G37">
        <f t="shared" si="0"/>
        <v>8.6763884488702544E+16</v>
      </c>
      <c r="H37">
        <f t="shared" si="1"/>
        <v>294557098.85980093</v>
      </c>
      <c r="I37">
        <f t="shared" si="2"/>
        <v>0.27818659947176427</v>
      </c>
      <c r="J37">
        <f t="shared" si="3"/>
        <v>9.396986639258744E+16</v>
      </c>
      <c r="K37">
        <f t="shared" si="4"/>
        <v>306545047.90093648</v>
      </c>
      <c r="L37">
        <f t="shared" si="5"/>
        <v>0.28950829835902003</v>
      </c>
      <c r="M37">
        <f t="shared" si="6"/>
        <v>1.0974971723151486E+17</v>
      </c>
      <c r="N37">
        <f t="shared" si="7"/>
        <v>331284948.69449604</v>
      </c>
      <c r="O37">
        <f t="shared" si="8"/>
        <v>0.3128732381267928</v>
      </c>
    </row>
    <row r="38" spans="1:15" x14ac:dyDescent="0.35">
      <c r="A38">
        <v>37</v>
      </c>
      <c r="B38">
        <v>1189041418.6900001</v>
      </c>
      <c r="C38">
        <v>1234220817.342118</v>
      </c>
      <c r="D38">
        <v>1330132386.6357727</v>
      </c>
      <c r="E38">
        <v>1360287932.0184546</v>
      </c>
      <c r="F38">
        <v>171246513.32845449</v>
      </c>
      <c r="G38">
        <f t="shared" si="0"/>
        <v>2041178062566998.8</v>
      </c>
      <c r="H38">
        <f t="shared" si="1"/>
        <v>45179398.652117968</v>
      </c>
      <c r="I38">
        <f t="shared" si="2"/>
        <v>3.799648855116701E-2</v>
      </c>
      <c r="J38">
        <f t="shared" si="3"/>
        <v>1.9906661235875044E+16</v>
      </c>
      <c r="K38">
        <f t="shared" si="4"/>
        <v>141090967.94577265</v>
      </c>
      <c r="L38">
        <f t="shared" si="5"/>
        <v>0.11865942239524044</v>
      </c>
      <c r="M38">
        <f t="shared" si="6"/>
        <v>2.9325368327152544E+16</v>
      </c>
      <c r="N38">
        <f t="shared" si="7"/>
        <v>171246513.32845449</v>
      </c>
      <c r="O38">
        <f t="shared" si="8"/>
        <v>0.1440206460739791</v>
      </c>
    </row>
    <row r="39" spans="1:15" x14ac:dyDescent="0.35">
      <c r="A39">
        <v>38</v>
      </c>
      <c r="B39">
        <v>1167782284.79</v>
      </c>
      <c r="C39">
        <v>1330484325.5503075</v>
      </c>
      <c r="D39">
        <v>1294309505.5728569</v>
      </c>
      <c r="E39">
        <v>1346617914.9852529</v>
      </c>
      <c r="F39">
        <v>178835630.1952529</v>
      </c>
      <c r="G39">
        <f t="shared" si="0"/>
        <v>2.647195406756878E+16</v>
      </c>
      <c r="H39">
        <f t="shared" si="1"/>
        <v>162702040.76030755</v>
      </c>
      <c r="I39">
        <f t="shared" si="2"/>
        <v>0.1393256627364971</v>
      </c>
      <c r="J39">
        <f t="shared" si="3"/>
        <v>1.6009137599033826E+16</v>
      </c>
      <c r="K39">
        <f t="shared" si="4"/>
        <v>126527220.78285694</v>
      </c>
      <c r="L39">
        <f t="shared" si="5"/>
        <v>0.10834829610864502</v>
      </c>
      <c r="M39">
        <f t="shared" si="6"/>
        <v>3.1982182627333248E+16</v>
      </c>
      <c r="N39">
        <f t="shared" si="7"/>
        <v>178835630.1952529</v>
      </c>
      <c r="O39">
        <f t="shared" si="8"/>
        <v>0.15314124261391118</v>
      </c>
    </row>
    <row r="40" spans="1:15" x14ac:dyDescent="0.35">
      <c r="A40">
        <v>39</v>
      </c>
      <c r="B40">
        <v>1183848404.6700001</v>
      </c>
      <c r="C40">
        <v>1336613848.9390073</v>
      </c>
      <c r="D40">
        <v>1263442700.6923974</v>
      </c>
      <c r="E40">
        <v>1320509548.0605488</v>
      </c>
      <c r="F40">
        <v>136661143.39054871</v>
      </c>
      <c r="G40">
        <f t="shared" si="0"/>
        <v>2.3337280962707148E+16</v>
      </c>
      <c r="H40">
        <f t="shared" si="1"/>
        <v>152765444.26900721</v>
      </c>
      <c r="I40">
        <f t="shared" si="2"/>
        <v>0.12904139049086344</v>
      </c>
      <c r="J40">
        <f t="shared" si="3"/>
        <v>6335251959301007</v>
      </c>
      <c r="K40">
        <f t="shared" si="4"/>
        <v>79594296.02239728</v>
      </c>
      <c r="L40">
        <f t="shared" si="5"/>
        <v>6.7233520532203897E-2</v>
      </c>
      <c r="M40">
        <f t="shared" si="6"/>
        <v>1.8676268112812116E+16</v>
      </c>
      <c r="N40">
        <f t="shared" si="7"/>
        <v>136661143.39054871</v>
      </c>
      <c r="O40">
        <f t="shared" si="8"/>
        <v>0.11543804329291912</v>
      </c>
    </row>
    <row r="41" spans="1:15" x14ac:dyDescent="0.35">
      <c r="A41">
        <v>40</v>
      </c>
      <c r="B41">
        <v>1178221592.8099999</v>
      </c>
      <c r="C41">
        <v>1329585905.0330276</v>
      </c>
      <c r="D41">
        <v>1237919152.4240515</v>
      </c>
      <c r="E41">
        <v>1295705950.6095886</v>
      </c>
      <c r="F41">
        <v>117484357.79958868</v>
      </c>
      <c r="G41">
        <f t="shared" si="0"/>
        <v>2.2911155014750216E+16</v>
      </c>
      <c r="H41">
        <f t="shared" si="1"/>
        <v>151364312.22302771</v>
      </c>
      <c r="I41">
        <f t="shared" si="2"/>
        <v>0.12846845885928074</v>
      </c>
      <c r="J41">
        <f t="shared" si="3"/>
        <v>3563798623873242.5</v>
      </c>
      <c r="K41">
        <f t="shared" si="4"/>
        <v>59697559.61405158</v>
      </c>
      <c r="L41">
        <f t="shared" si="5"/>
        <v>5.0667514479747287E-2</v>
      </c>
      <c r="M41">
        <f t="shared" si="6"/>
        <v>1.3802574327581774E+16</v>
      </c>
      <c r="N41">
        <f t="shared" si="7"/>
        <v>117484357.79958868</v>
      </c>
      <c r="O41">
        <f t="shared" si="8"/>
        <v>9.97132954586194E-2</v>
      </c>
    </row>
    <row r="42" spans="1:15" x14ac:dyDescent="0.35">
      <c r="A42">
        <v>41</v>
      </c>
      <c r="B42">
        <v>1154706616.9300001</v>
      </c>
      <c r="C42">
        <v>1253532691.3925936</v>
      </c>
      <c r="D42">
        <v>1217624444.9028437</v>
      </c>
      <c r="E42">
        <v>1273677265.2970123</v>
      </c>
      <c r="F42">
        <v>118970648.36701226</v>
      </c>
      <c r="G42">
        <f t="shared" si="0"/>
        <v>9766592993686086</v>
      </c>
      <c r="H42">
        <f t="shared" si="1"/>
        <v>98826074.462593555</v>
      </c>
      <c r="I42">
        <f t="shared" si="2"/>
        <v>8.5585440503788621E-2</v>
      </c>
      <c r="J42">
        <f t="shared" si="3"/>
        <v>3958653076820346.5</v>
      </c>
      <c r="K42">
        <f t="shared" si="4"/>
        <v>62917827.972843647</v>
      </c>
      <c r="L42">
        <f t="shared" si="5"/>
        <v>5.4488150540023983E-2</v>
      </c>
      <c r="M42">
        <f t="shared" si="6"/>
        <v>1.4154015172867278E+16</v>
      </c>
      <c r="N42">
        <f t="shared" si="7"/>
        <v>118970648.36701226</v>
      </c>
      <c r="O42">
        <f t="shared" si="8"/>
        <v>0.10303106141655065</v>
      </c>
    </row>
    <row r="43" spans="1:15" x14ac:dyDescent="0.35">
      <c r="A43">
        <v>42</v>
      </c>
      <c r="B43">
        <v>1125495257.5999999</v>
      </c>
      <c r="C43">
        <v>1236938104.8409097</v>
      </c>
      <c r="D43">
        <v>1200642677.9215026</v>
      </c>
      <c r="E43">
        <v>1253661632.47664</v>
      </c>
      <c r="F43">
        <v>128166374.87664008</v>
      </c>
      <c r="G43">
        <f t="shared" si="0"/>
        <v>1.241950820116076E+16</v>
      </c>
      <c r="H43">
        <f t="shared" si="1"/>
        <v>111442847.24090981</v>
      </c>
      <c r="I43">
        <f t="shared" si="2"/>
        <v>9.9016718629761219E-2</v>
      </c>
      <c r="J43">
        <f t="shared" si="3"/>
        <v>5647134780976595</v>
      </c>
      <c r="K43">
        <f t="shared" si="4"/>
        <v>75147420.321502686</v>
      </c>
      <c r="L43">
        <f t="shared" si="5"/>
        <v>6.6768313606000121E-2</v>
      </c>
      <c r="M43">
        <f t="shared" si="6"/>
        <v>1.6426619649019438E+16</v>
      </c>
      <c r="N43">
        <f t="shared" si="7"/>
        <v>128166374.87664008</v>
      </c>
      <c r="O43">
        <f t="shared" si="8"/>
        <v>0.11387553524653793</v>
      </c>
    </row>
    <row r="44" spans="1:15" x14ac:dyDescent="0.35">
      <c r="A44">
        <v>43</v>
      </c>
      <c r="B44">
        <v>1113560054.1500001</v>
      </c>
      <c r="C44">
        <v>1196499061.5336287</v>
      </c>
      <c r="D44">
        <v>1184818642.3356068</v>
      </c>
      <c r="E44">
        <v>1234594425.0260863</v>
      </c>
      <c r="F44">
        <v>121034370.87608624</v>
      </c>
      <c r="G44">
        <f t="shared" si="0"/>
        <v>6878878945781601</v>
      </c>
      <c r="H44">
        <f t="shared" si="1"/>
        <v>82939007.383628607</v>
      </c>
      <c r="I44">
        <f t="shared" si="2"/>
        <v>7.4480947008230644E-2</v>
      </c>
      <c r="J44">
        <f t="shared" si="3"/>
        <v>5077786390205889</v>
      </c>
      <c r="K44">
        <f t="shared" si="4"/>
        <v>71258588.185606718</v>
      </c>
      <c r="L44">
        <f t="shared" si="5"/>
        <v>6.3991688566809854E-2</v>
      </c>
      <c r="M44">
        <f t="shared" si="6"/>
        <v>1.4649318933369992E+16</v>
      </c>
      <c r="N44">
        <f t="shared" si="7"/>
        <v>121034370.87608624</v>
      </c>
      <c r="O44">
        <f t="shared" si="8"/>
        <v>0.10869137270595962</v>
      </c>
    </row>
    <row r="45" spans="1:15" x14ac:dyDescent="0.35">
      <c r="A45">
        <v>44</v>
      </c>
      <c r="B45">
        <v>1159070291.51</v>
      </c>
      <c r="C45">
        <v>1152124874.4498911</v>
      </c>
      <c r="D45">
        <v>1169536087.8672023</v>
      </c>
      <c r="E45">
        <v>1216165493.8004384</v>
      </c>
      <c r="F45">
        <v>57095202.290438414</v>
      </c>
      <c r="G45">
        <f t="shared" si="0"/>
        <v>48238818138851.758</v>
      </c>
      <c r="H45">
        <f t="shared" si="1"/>
        <v>6945417.0601089001</v>
      </c>
      <c r="I45">
        <f t="shared" si="2"/>
        <v>5.9922311105572654E-3</v>
      </c>
      <c r="J45">
        <f t="shared" si="3"/>
        <v>109532893390428.75</v>
      </c>
      <c r="K45">
        <f t="shared" si="4"/>
        <v>10465796.357202291</v>
      </c>
      <c r="L45">
        <f t="shared" si="5"/>
        <v>9.0294751179997752E-3</v>
      </c>
      <c r="M45">
        <f t="shared" si="6"/>
        <v>3259862124586084</v>
      </c>
      <c r="N45">
        <f t="shared" si="7"/>
        <v>57095202.290438414</v>
      </c>
      <c r="O45">
        <f t="shared" si="8"/>
        <v>4.9259482111353746E-2</v>
      </c>
    </row>
    <row r="46" spans="1:15" x14ac:dyDescent="0.35">
      <c r="A46">
        <v>45</v>
      </c>
      <c r="B46">
        <v>1174384451.6500001</v>
      </c>
      <c r="C46">
        <v>1250024850.9869983</v>
      </c>
      <c r="D46">
        <v>1157719345.9164257</v>
      </c>
      <c r="E46">
        <v>1200067860.235652</v>
      </c>
      <c r="F46">
        <v>25683408.585651875</v>
      </c>
      <c r="G46">
        <f t="shared" si="0"/>
        <v>5721470011860561</v>
      </c>
      <c r="H46">
        <f t="shared" si="1"/>
        <v>75640399.336998224</v>
      </c>
      <c r="I46">
        <f t="shared" si="2"/>
        <v>6.44085497136173E-2</v>
      </c>
      <c r="J46">
        <f t="shared" si="3"/>
        <v>277725749111214.03</v>
      </c>
      <c r="K46">
        <f t="shared" si="4"/>
        <v>16665105.73357439</v>
      </c>
      <c r="L46">
        <f t="shared" si="5"/>
        <v>1.41905027013599E-2</v>
      </c>
      <c r="M46">
        <f t="shared" si="6"/>
        <v>659637476577536.38</v>
      </c>
      <c r="N46">
        <f t="shared" si="7"/>
        <v>25683408.585651875</v>
      </c>
      <c r="O46">
        <f t="shared" si="8"/>
        <v>2.1869676961038531E-2</v>
      </c>
    </row>
    <row r="47" spans="1:15" x14ac:dyDescent="0.35">
      <c r="A47">
        <v>46</v>
      </c>
      <c r="B47">
        <v>1157872283.5</v>
      </c>
      <c r="C47">
        <v>1206168452.2453828</v>
      </c>
      <c r="D47">
        <v>1150884992.2252748</v>
      </c>
      <c r="E47">
        <v>1187467232.6917439</v>
      </c>
      <c r="F47">
        <v>29594949.191743851</v>
      </c>
      <c r="G47">
        <f t="shared" si="0"/>
        <v>2332519915482489</v>
      </c>
      <c r="H47">
        <f t="shared" si="1"/>
        <v>48296168.745382786</v>
      </c>
      <c r="I47">
        <f t="shared" si="2"/>
        <v>4.1711136395279978E-2</v>
      </c>
      <c r="J47">
        <f t="shared" si="3"/>
        <v>48822239357850.891</v>
      </c>
      <c r="K47">
        <f t="shared" si="4"/>
        <v>6987291.2747251987</v>
      </c>
      <c r="L47">
        <f t="shared" si="5"/>
        <v>6.0345958481743027E-3</v>
      </c>
      <c r="M47">
        <f t="shared" si="6"/>
        <v>875861017661900</v>
      </c>
      <c r="N47">
        <f t="shared" si="7"/>
        <v>29594949.191743851</v>
      </c>
      <c r="O47">
        <f t="shared" si="8"/>
        <v>2.5559769944820388E-2</v>
      </c>
    </row>
    <row r="48" spans="1:15" x14ac:dyDescent="0.35">
      <c r="A48">
        <v>47</v>
      </c>
      <c r="B48">
        <v>1159448836.5699999</v>
      </c>
      <c r="C48">
        <v>1204242551.0676036</v>
      </c>
      <c r="D48">
        <v>1147107959.0301793</v>
      </c>
      <c r="E48">
        <v>1177496622.27303</v>
      </c>
      <c r="F48">
        <v>18047785.703030109</v>
      </c>
      <c r="G48">
        <f t="shared" si="0"/>
        <v>2006476858492827.8</v>
      </c>
      <c r="H48">
        <f t="shared" si="1"/>
        <v>44793714.497603655</v>
      </c>
      <c r="I48">
        <f t="shared" si="2"/>
        <v>3.8633627534714686E-2</v>
      </c>
      <c r="J48">
        <f t="shared" si="3"/>
        <v>152297258452850.31</v>
      </c>
      <c r="K48">
        <f t="shared" si="4"/>
        <v>12340877.539820671</v>
      </c>
      <c r="L48">
        <f t="shared" si="5"/>
        <v>1.0643744812689378E-2</v>
      </c>
      <c r="M48">
        <f t="shared" si="6"/>
        <v>325722568782498</v>
      </c>
      <c r="N48">
        <f t="shared" si="7"/>
        <v>18047785.703030109</v>
      </c>
      <c r="O48">
        <f t="shared" si="8"/>
        <v>1.556583191408507E-2</v>
      </c>
    </row>
    <row r="49" spans="1:15" x14ac:dyDescent="0.35">
      <c r="A49">
        <v>48</v>
      </c>
      <c r="B49">
        <v>1137348395.8399999</v>
      </c>
      <c r="C49">
        <v>1229642992.1513658</v>
      </c>
      <c r="D49">
        <v>1145075618.9519961</v>
      </c>
      <c r="E49">
        <v>1174133319.7031064</v>
      </c>
      <c r="F49">
        <v>36784923.863106489</v>
      </c>
      <c r="G49">
        <f t="shared" si="0"/>
        <v>8518292508277985</v>
      </c>
      <c r="H49">
        <f t="shared" si="1"/>
        <v>92294596.311365843</v>
      </c>
      <c r="I49">
        <f t="shared" si="2"/>
        <v>8.1148922044419605E-2</v>
      </c>
      <c r="J49">
        <f t="shared" si="3"/>
        <v>59709977022567.836</v>
      </c>
      <c r="K49">
        <f t="shared" si="4"/>
        <v>7727223.1119961739</v>
      </c>
      <c r="L49">
        <f t="shared" si="5"/>
        <v>6.7940686778646718E-3</v>
      </c>
      <c r="M49">
        <f t="shared" si="6"/>
        <v>1353130623614541.3</v>
      </c>
      <c r="N49">
        <f t="shared" si="7"/>
        <v>36784923.863106489</v>
      </c>
      <c r="O49">
        <f t="shared" si="8"/>
        <v>3.23427051883593E-2</v>
      </c>
    </row>
    <row r="50" spans="1:15" x14ac:dyDescent="0.35">
      <c r="A50">
        <v>49</v>
      </c>
      <c r="B50">
        <v>1124059290.3299999</v>
      </c>
      <c r="C50">
        <v>1159823716.7940993</v>
      </c>
      <c r="D50">
        <v>1143216152.7925899</v>
      </c>
      <c r="E50">
        <v>1162374678.6286132</v>
      </c>
      <c r="F50">
        <v>38315388.29861331</v>
      </c>
      <c r="G50">
        <f t="shared" si="0"/>
        <v>1279094200305974</v>
      </c>
      <c r="H50">
        <f t="shared" si="1"/>
        <v>35764426.464099407</v>
      </c>
      <c r="I50">
        <f t="shared" si="2"/>
        <v>3.1817206415864177E-2</v>
      </c>
      <c r="J50">
        <f t="shared" si="3"/>
        <v>366985379410589</v>
      </c>
      <c r="K50">
        <f t="shared" si="4"/>
        <v>19156862.462589979</v>
      </c>
      <c r="L50">
        <f t="shared" si="5"/>
        <v>1.7042572956241418E-2</v>
      </c>
      <c r="M50">
        <f t="shared" si="6"/>
        <v>1468068980473513.8</v>
      </c>
      <c r="N50">
        <f t="shared" si="7"/>
        <v>38315388.29861331</v>
      </c>
      <c r="O50">
        <f t="shared" si="8"/>
        <v>3.4086625704027346E-2</v>
      </c>
    </row>
    <row r="51" spans="1:15" x14ac:dyDescent="0.35">
      <c r="A51">
        <v>50</v>
      </c>
      <c r="B51">
        <v>1131284192.3499999</v>
      </c>
      <c r="C51">
        <v>1146950800.9222002</v>
      </c>
      <c r="D51">
        <v>1140366352.4345706</v>
      </c>
      <c r="E51">
        <v>1155542348.9433985</v>
      </c>
      <c r="F51">
        <v>24258156.593398571</v>
      </c>
      <c r="G51">
        <f t="shared" si="0"/>
        <v>245442624154539.88</v>
      </c>
      <c r="H51">
        <f t="shared" si="1"/>
        <v>15666608.572200298</v>
      </c>
      <c r="I51">
        <f t="shared" si="2"/>
        <v>1.3848517179097398E-2</v>
      </c>
      <c r="J51">
        <f t="shared" si="3"/>
        <v>82485631801768.281</v>
      </c>
      <c r="K51">
        <f t="shared" si="4"/>
        <v>9082160.0845706463</v>
      </c>
      <c r="L51">
        <f t="shared" si="5"/>
        <v>8.0281861498518858E-3</v>
      </c>
      <c r="M51">
        <f t="shared" si="6"/>
        <v>588458161309846.63</v>
      </c>
      <c r="N51">
        <f t="shared" si="7"/>
        <v>24258156.593398571</v>
      </c>
      <c r="O51">
        <f t="shared" si="8"/>
        <v>2.1443026215196608E-2</v>
      </c>
    </row>
    <row r="52" spans="1:15" x14ac:dyDescent="0.35">
      <c r="A52">
        <v>51</v>
      </c>
      <c r="B52">
        <v>1146768607.79</v>
      </c>
      <c r="C52">
        <v>1144144695.280566</v>
      </c>
      <c r="D52">
        <v>1137181876.7420595</v>
      </c>
      <c r="E52">
        <v>1149141370.6409168</v>
      </c>
      <c r="F52">
        <v>2372762.8509168625</v>
      </c>
      <c r="G52">
        <f t="shared" si="0"/>
        <v>6884916857164.1514</v>
      </c>
      <c r="H52">
        <f t="shared" si="1"/>
        <v>2623912.5094339848</v>
      </c>
      <c r="I52">
        <f t="shared" si="2"/>
        <v>2.288092376796631E-3</v>
      </c>
      <c r="J52">
        <f t="shared" si="3"/>
        <v>91905412185546.219</v>
      </c>
      <c r="K52">
        <f t="shared" si="4"/>
        <v>9586731.0479404926</v>
      </c>
      <c r="L52">
        <f t="shared" si="5"/>
        <v>8.3597780605588791E-3</v>
      </c>
      <c r="M52">
        <f t="shared" si="6"/>
        <v>5630003546691.1172</v>
      </c>
      <c r="N52">
        <f t="shared" si="7"/>
        <v>2372762.8509168625</v>
      </c>
      <c r="O52">
        <f t="shared" si="8"/>
        <v>2.0690859819484791E-3</v>
      </c>
    </row>
    <row r="53" spans="1:15" x14ac:dyDescent="0.35">
      <c r="A53">
        <v>52</v>
      </c>
      <c r="B53">
        <v>1146740680.48</v>
      </c>
      <c r="C53">
        <v>1128480556.1636217</v>
      </c>
      <c r="D53">
        <v>1135042502.4676089</v>
      </c>
      <c r="E53">
        <v>1148609176.1388969</v>
      </c>
      <c r="F53">
        <v>1868495.6588969231</v>
      </c>
      <c r="G53">
        <f t="shared" si="0"/>
        <v>333432140049592.06</v>
      </c>
      <c r="H53">
        <f t="shared" si="1"/>
        <v>18260124.316378355</v>
      </c>
      <c r="I53">
        <f t="shared" si="2"/>
        <v>1.5923499207105025E-2</v>
      </c>
      <c r="J53">
        <f t="shared" si="3"/>
        <v>136847368809590.36</v>
      </c>
      <c r="K53">
        <f t="shared" si="4"/>
        <v>11698178.01239109</v>
      </c>
      <c r="L53">
        <f t="shared" si="5"/>
        <v>1.0201240970621618E-2</v>
      </c>
      <c r="M53">
        <f t="shared" si="6"/>
        <v>3491276027316.6465</v>
      </c>
      <c r="N53">
        <f t="shared" si="7"/>
        <v>1868495.6588969231</v>
      </c>
      <c r="O53">
        <f t="shared" si="8"/>
        <v>1.6293968555426259E-3</v>
      </c>
    </row>
    <row r="54" spans="1:15" x14ac:dyDescent="0.35">
      <c r="A54">
        <v>53</v>
      </c>
      <c r="B54">
        <v>1141900792.0599999</v>
      </c>
      <c r="C54">
        <v>1121442254.109616</v>
      </c>
      <c r="D54">
        <v>1134125865.896904</v>
      </c>
      <c r="E54">
        <v>1144633314.1253734</v>
      </c>
      <c r="F54">
        <v>2732522.0653734207</v>
      </c>
      <c r="G54">
        <f t="shared" si="0"/>
        <v>418551775067298.31</v>
      </c>
      <c r="H54">
        <f t="shared" si="1"/>
        <v>20458537.950383902</v>
      </c>
      <c r="I54">
        <f t="shared" si="2"/>
        <v>1.7916213118196113E-2</v>
      </c>
      <c r="J54">
        <f t="shared" si="3"/>
        <v>60449476841593.93</v>
      </c>
      <c r="K54">
        <f t="shared" si="4"/>
        <v>7774926.1630959511</v>
      </c>
      <c r="L54">
        <f t="shared" si="5"/>
        <v>6.808758008714496E-3</v>
      </c>
      <c r="M54">
        <f t="shared" si="6"/>
        <v>7466676837752.625</v>
      </c>
      <c r="N54">
        <f t="shared" si="7"/>
        <v>2732522.0653734207</v>
      </c>
      <c r="O54">
        <f t="shared" si="8"/>
        <v>2.3929592521290091E-3</v>
      </c>
    </row>
    <row r="55" spans="1:15" x14ac:dyDescent="0.35">
      <c r="A55">
        <v>54</v>
      </c>
      <c r="B55">
        <v>1087825988.1300001</v>
      </c>
      <c r="C55">
        <v>1130984370.5657418</v>
      </c>
      <c r="D55">
        <v>1133758806.4674349</v>
      </c>
      <c r="E55">
        <v>1150047887.1819413</v>
      </c>
      <c r="F55">
        <v>62221899.051941156</v>
      </c>
      <c r="G55">
        <f t="shared" si="0"/>
        <v>1862645974469734.5</v>
      </c>
      <c r="H55">
        <f t="shared" si="1"/>
        <v>43158382.435741663</v>
      </c>
      <c r="I55">
        <f t="shared" si="2"/>
        <v>3.9673976267042485E-2</v>
      </c>
      <c r="J55">
        <f t="shared" si="3"/>
        <v>2109823800419783.8</v>
      </c>
      <c r="K55">
        <f t="shared" si="4"/>
        <v>45932818.337434769</v>
      </c>
      <c r="L55">
        <f t="shared" si="5"/>
        <v>4.2224417175760275E-2</v>
      </c>
      <c r="M55">
        <f t="shared" si="6"/>
        <v>3871564721629956</v>
      </c>
      <c r="N55">
        <f t="shared" si="7"/>
        <v>62221899.051941156</v>
      </c>
      <c r="O55">
        <f t="shared" si="8"/>
        <v>5.7198393613395966E-2</v>
      </c>
    </row>
    <row r="56" spans="1:15" x14ac:dyDescent="0.35">
      <c r="A56">
        <v>55</v>
      </c>
      <c r="B56">
        <v>1078162723.4300001</v>
      </c>
      <c r="C56">
        <v>1104789804.7999945</v>
      </c>
      <c r="D56">
        <v>1130936270.6599662</v>
      </c>
      <c r="E56">
        <v>1137989097.9330425</v>
      </c>
      <c r="F56">
        <v>59826374.503042459</v>
      </c>
      <c r="G56">
        <f t="shared" si="0"/>
        <v>709001462284303</v>
      </c>
      <c r="H56">
        <f t="shared" si="1"/>
        <v>26627081.369994402</v>
      </c>
      <c r="I56">
        <f t="shared" si="2"/>
        <v>2.4696718585562535E-2</v>
      </c>
      <c r="J56">
        <f t="shared" si="3"/>
        <v>2785047287233469.5</v>
      </c>
      <c r="K56">
        <f t="shared" si="4"/>
        <v>52773547.229966164</v>
      </c>
      <c r="L56">
        <f t="shared" si="5"/>
        <v>4.8947664469492759E-2</v>
      </c>
      <c r="M56">
        <f t="shared" si="6"/>
        <v>3579195086178289</v>
      </c>
      <c r="N56">
        <f t="shared" si="7"/>
        <v>59826374.503042459</v>
      </c>
      <c r="O56">
        <f t="shared" si="8"/>
        <v>5.5489188415561747E-2</v>
      </c>
    </row>
    <row r="57" spans="1:15" x14ac:dyDescent="0.35">
      <c r="A57">
        <v>56</v>
      </c>
      <c r="B57">
        <v>1139925830.51</v>
      </c>
      <c r="C57">
        <v>1100533915.6122539</v>
      </c>
      <c r="D57">
        <v>1124904494.8520627</v>
      </c>
      <c r="E57">
        <v>1137846226.9257889</v>
      </c>
      <c r="F57">
        <v>2079603.5842111111</v>
      </c>
      <c r="G57">
        <f t="shared" si="0"/>
        <v>1551722959311270</v>
      </c>
      <c r="H57">
        <f t="shared" si="1"/>
        <v>39391914.897746086</v>
      </c>
      <c r="I57">
        <f t="shared" si="2"/>
        <v>3.4556559596620635E-2</v>
      </c>
      <c r="J57">
        <f t="shared" si="3"/>
        <v>225640524948418.25</v>
      </c>
      <c r="K57">
        <f t="shared" si="4"/>
        <v>15021335.657937288</v>
      </c>
      <c r="L57">
        <f t="shared" si="5"/>
        <v>1.3177467564900061E-2</v>
      </c>
      <c r="M57">
        <f t="shared" si="6"/>
        <v>4324751067463.6997</v>
      </c>
      <c r="N57">
        <f t="shared" si="7"/>
        <v>2079603.5842111111</v>
      </c>
      <c r="O57">
        <f t="shared" si="8"/>
        <v>1.8243323631684893E-3</v>
      </c>
    </row>
    <row r="58" spans="1:15" x14ac:dyDescent="0.35">
      <c r="A58">
        <v>57</v>
      </c>
      <c r="B58">
        <v>1130248625.4100001</v>
      </c>
      <c r="C58">
        <v>1138677259.9513144</v>
      </c>
      <c r="D58">
        <v>1120284641.7733433</v>
      </c>
      <c r="E58">
        <v>1129098592.3291664</v>
      </c>
      <c r="F58">
        <v>1150033.0808336735</v>
      </c>
      <c r="G58">
        <f t="shared" si="0"/>
        <v>71041880231037.594</v>
      </c>
      <c r="H58">
        <f t="shared" si="1"/>
        <v>8428634.5413143635</v>
      </c>
      <c r="I58">
        <f t="shared" si="2"/>
        <v>7.4573278408163147E-3</v>
      </c>
      <c r="J58">
        <f t="shared" si="3"/>
        <v>99280969911563.703</v>
      </c>
      <c r="K58">
        <f t="shared" si="4"/>
        <v>9963983.6366567612</v>
      </c>
      <c r="L58">
        <f t="shared" si="5"/>
        <v>8.8157449720784268E-3</v>
      </c>
      <c r="M58">
        <f t="shared" si="6"/>
        <v>1322576087011.7905</v>
      </c>
      <c r="N58">
        <f t="shared" si="7"/>
        <v>1150033.0808336735</v>
      </c>
      <c r="O58">
        <f t="shared" si="8"/>
        <v>1.0175045162443763E-3</v>
      </c>
    </row>
    <row r="59" spans="1:15" x14ac:dyDescent="0.35">
      <c r="A59">
        <v>58</v>
      </c>
      <c r="B59">
        <v>1106975568.5799999</v>
      </c>
      <c r="C59">
        <v>1123768670.3443964</v>
      </c>
      <c r="D59">
        <v>1118067759.9774578</v>
      </c>
      <c r="E59">
        <v>1132090311.2210577</v>
      </c>
      <c r="F59">
        <v>25114742.64105773</v>
      </c>
      <c r="G59">
        <f t="shared" si="0"/>
        <v>282008266869374.44</v>
      </c>
      <c r="H59">
        <f t="shared" si="1"/>
        <v>16793101.764396429</v>
      </c>
      <c r="I59">
        <f t="shared" si="2"/>
        <v>1.5170255099611812E-2</v>
      </c>
      <c r="J59">
        <f t="shared" si="3"/>
        <v>123036709997837.67</v>
      </c>
      <c r="K59">
        <f t="shared" si="4"/>
        <v>11092191.397457838</v>
      </c>
      <c r="L59">
        <f t="shared" si="5"/>
        <v>1.0020267576172994E-2</v>
      </c>
      <c r="M59">
        <f t="shared" si="6"/>
        <v>630750297926563.38</v>
      </c>
      <c r="N59">
        <f t="shared" si="7"/>
        <v>25114742.64105773</v>
      </c>
      <c r="O59">
        <f t="shared" si="8"/>
        <v>2.2687711774230287E-2</v>
      </c>
    </row>
    <row r="60" spans="1:15" x14ac:dyDescent="0.35">
      <c r="A60">
        <v>59</v>
      </c>
      <c r="B60">
        <v>1125694610.1900001</v>
      </c>
      <c r="C60">
        <v>1119031782.0989017</v>
      </c>
      <c r="D60">
        <v>1115976485.6087823</v>
      </c>
      <c r="E60">
        <v>1129069303.7726793</v>
      </c>
      <c r="F60">
        <v>3374693.5826792717</v>
      </c>
      <c r="G60">
        <f t="shared" si="0"/>
        <v>44393278171528.727</v>
      </c>
      <c r="H60">
        <f t="shared" si="1"/>
        <v>6662828.0910983086</v>
      </c>
      <c r="I60">
        <f t="shared" si="2"/>
        <v>5.9188593698371933E-3</v>
      </c>
      <c r="J60">
        <f t="shared" si="3"/>
        <v>94441945376068.969</v>
      </c>
      <c r="K60">
        <f t="shared" si="4"/>
        <v>9718124.5812177658</v>
      </c>
      <c r="L60">
        <f t="shared" si="5"/>
        <v>8.633002675190472E-3</v>
      </c>
      <c r="M60">
        <f t="shared" si="6"/>
        <v>11388556776976.658</v>
      </c>
      <c r="N60">
        <f t="shared" si="7"/>
        <v>3374693.5826792717</v>
      </c>
      <c r="O60">
        <f t="shared" si="8"/>
        <v>2.9978766462332752E-3</v>
      </c>
    </row>
    <row r="61" spans="1:15" x14ac:dyDescent="0.35">
      <c r="A61">
        <v>60</v>
      </c>
      <c r="B61">
        <v>1104663002.3099999</v>
      </c>
      <c r="C61">
        <v>1132789783.8607371</v>
      </c>
      <c r="D61">
        <v>1114399784.9845657</v>
      </c>
      <c r="E61">
        <v>1127369972.2005699</v>
      </c>
      <c r="F61">
        <v>22706969.890569925</v>
      </c>
      <c r="G61">
        <f t="shared" si="0"/>
        <v>791115840402887.25</v>
      </c>
      <c r="H61">
        <f t="shared" si="1"/>
        <v>28126781.550737143</v>
      </c>
      <c r="I61">
        <f t="shared" si="2"/>
        <v>2.5461866190793239E-2</v>
      </c>
      <c r="J61">
        <f t="shared" si="3"/>
        <v>94804936851724.578</v>
      </c>
      <c r="K61">
        <f t="shared" si="4"/>
        <v>9736782.6745657921</v>
      </c>
      <c r="L61">
        <f t="shared" si="5"/>
        <v>8.8142561615667959E-3</v>
      </c>
      <c r="M61">
        <f t="shared" si="6"/>
        <v>515606481611249.19</v>
      </c>
      <c r="N61">
        <f t="shared" si="7"/>
        <v>22706969.890569925</v>
      </c>
      <c r="O61">
        <f t="shared" si="8"/>
        <v>2.0555562957287946E-2</v>
      </c>
    </row>
    <row r="62" spans="1:15" x14ac:dyDescent="0.35">
      <c r="A62">
        <v>61</v>
      </c>
      <c r="B62">
        <v>1160266493.99</v>
      </c>
      <c r="C62">
        <v>1122187445.4716165</v>
      </c>
      <c r="D62">
        <v>1112672236.3885236</v>
      </c>
      <c r="E62">
        <v>1124902232.7277813</v>
      </c>
      <c r="F62">
        <v>35364261.262218714</v>
      </c>
      <c r="G62">
        <f t="shared" si="0"/>
        <v>1450013936065404.8</v>
      </c>
      <c r="H62">
        <f t="shared" si="1"/>
        <v>38079048.518383503</v>
      </c>
      <c r="I62">
        <f t="shared" si="2"/>
        <v>3.2819226199866193E-2</v>
      </c>
      <c r="J62">
        <f t="shared" si="3"/>
        <v>2265213356635697</v>
      </c>
      <c r="K62">
        <f t="shared" si="4"/>
        <v>47594257.601476431</v>
      </c>
      <c r="L62">
        <f t="shared" si="5"/>
        <v>4.1020108611260674E-2</v>
      </c>
      <c r="M62">
        <f t="shared" si="6"/>
        <v>1250630974622463.3</v>
      </c>
      <c r="N62">
        <f t="shared" si="7"/>
        <v>35364261.262218714</v>
      </c>
      <c r="O62">
        <f t="shared" si="8"/>
        <v>3.0479429894252816E-2</v>
      </c>
    </row>
    <row r="63" spans="1:15" x14ac:dyDescent="0.35">
      <c r="A63">
        <v>62</v>
      </c>
      <c r="B63">
        <v>1154510968.3599999</v>
      </c>
      <c r="C63">
        <v>1183303019.0669909</v>
      </c>
      <c r="D63">
        <v>1113220861.0563776</v>
      </c>
      <c r="E63">
        <v>1123832843.2384877</v>
      </c>
      <c r="F63">
        <v>30678125.121512175</v>
      </c>
      <c r="G63">
        <f t="shared" si="0"/>
        <v>828982183913938.5</v>
      </c>
      <c r="H63">
        <f t="shared" si="1"/>
        <v>28792050.706990957</v>
      </c>
      <c r="I63">
        <f t="shared" si="2"/>
        <v>2.4938741593672771E-2</v>
      </c>
      <c r="J63">
        <f t="shared" si="3"/>
        <v>1704872961144639</v>
      </c>
      <c r="K63">
        <f t="shared" si="4"/>
        <v>41290107.303622246</v>
      </c>
      <c r="L63">
        <f t="shared" si="5"/>
        <v>3.5764153338686301E-2</v>
      </c>
      <c r="M63">
        <f t="shared" si="6"/>
        <v>941147360971156.38</v>
      </c>
      <c r="N63">
        <f t="shared" si="7"/>
        <v>30678125.121512175</v>
      </c>
      <c r="O63">
        <f t="shared" si="8"/>
        <v>2.6572398151479593E-2</v>
      </c>
    </row>
    <row r="64" spans="1:15" x14ac:dyDescent="0.35">
      <c r="A64">
        <v>63</v>
      </c>
      <c r="B64">
        <v>1226770877.03</v>
      </c>
      <c r="C64">
        <v>1204137302.7589266</v>
      </c>
      <c r="D64">
        <v>1116340449.4997611</v>
      </c>
      <c r="E64">
        <v>1124587202.1567869</v>
      </c>
      <c r="F64">
        <v>102183674.87321305</v>
      </c>
      <c r="G64">
        <f t="shared" si="0"/>
        <v>512278684284193.13</v>
      </c>
      <c r="H64">
        <f t="shared" si="1"/>
        <v>22633574.271073341</v>
      </c>
      <c r="I64">
        <f t="shared" si="2"/>
        <v>1.8449715994130051E-2</v>
      </c>
      <c r="J64">
        <f t="shared" si="3"/>
        <v>1.2194879324511338E+16</v>
      </c>
      <c r="K64">
        <f t="shared" si="4"/>
        <v>110430427.53023887</v>
      </c>
      <c r="L64">
        <f t="shared" si="5"/>
        <v>9.0017157725157143E-2</v>
      </c>
      <c r="M64">
        <f t="shared" si="6"/>
        <v>1.0441503410594512E+16</v>
      </c>
      <c r="N64">
        <f t="shared" si="7"/>
        <v>102183674.87321305</v>
      </c>
      <c r="O64">
        <f t="shared" si="8"/>
        <v>8.3294832626446685E-2</v>
      </c>
    </row>
    <row r="65" spans="1:15" x14ac:dyDescent="0.35">
      <c r="A65">
        <v>64</v>
      </c>
      <c r="B65">
        <v>1198617718.6300001</v>
      </c>
      <c r="C65">
        <v>1200487900.9969778</v>
      </c>
      <c r="D65">
        <v>1124160970.3184803</v>
      </c>
      <c r="E65">
        <v>1128404596.4114318</v>
      </c>
      <c r="F65">
        <v>70213122.218568325</v>
      </c>
      <c r="G65">
        <f t="shared" si="0"/>
        <v>3497582085754.2813</v>
      </c>
      <c r="H65">
        <f t="shared" si="1"/>
        <v>1870182.3669776917</v>
      </c>
      <c r="I65">
        <f t="shared" si="2"/>
        <v>1.5602825971196878E-3</v>
      </c>
      <c r="J65">
        <f t="shared" si="3"/>
        <v>5543807369125016</v>
      </c>
      <c r="K65">
        <f t="shared" si="4"/>
        <v>74456748.311519861</v>
      </c>
      <c r="L65">
        <f t="shared" si="5"/>
        <v>6.2118845028106773E-2</v>
      </c>
      <c r="M65">
        <f t="shared" si="6"/>
        <v>4929882531679613</v>
      </c>
      <c r="N65">
        <f t="shared" si="7"/>
        <v>70213122.218568325</v>
      </c>
      <c r="O65">
        <f t="shared" si="8"/>
        <v>5.8578411721479255E-2</v>
      </c>
    </row>
    <row r="66" spans="1:15" x14ac:dyDescent="0.35">
      <c r="A66">
        <v>65</v>
      </c>
      <c r="B66">
        <v>1154225365.5999999</v>
      </c>
      <c r="C66">
        <v>1214824768.4565358</v>
      </c>
      <c r="D66">
        <v>1134795811.8617508</v>
      </c>
      <c r="E66">
        <v>1135974973.9082844</v>
      </c>
      <c r="F66">
        <v>18250391.691715479</v>
      </c>
      <c r="G66">
        <f t="shared" si="0"/>
        <v>3672287626568733</v>
      </c>
      <c r="H66">
        <f t="shared" si="1"/>
        <v>60599402.856535912</v>
      </c>
      <c r="I66">
        <f t="shared" si="2"/>
        <v>5.2502227608760429E-2</v>
      </c>
      <c r="J66">
        <f t="shared" si="3"/>
        <v>377507558467508.19</v>
      </c>
      <c r="K66">
        <f t="shared" si="4"/>
        <v>19429553.738249063</v>
      </c>
      <c r="L66">
        <f t="shared" si="5"/>
        <v>1.6833414268407641E-2</v>
      </c>
      <c r="M66">
        <f t="shared" si="6"/>
        <v>333076796901037.38</v>
      </c>
      <c r="N66">
        <f t="shared" si="7"/>
        <v>18250391.691715479</v>
      </c>
      <c r="O66">
        <f t="shared" si="8"/>
        <v>1.5811809578650523E-2</v>
      </c>
    </row>
    <row r="67" spans="1:15" x14ac:dyDescent="0.35">
      <c r="A67">
        <v>66</v>
      </c>
      <c r="B67">
        <v>1139591070.9400001</v>
      </c>
      <c r="C67">
        <v>1232068227.4994965</v>
      </c>
      <c r="D67">
        <v>1143257347.2663481</v>
      </c>
      <c r="E67">
        <v>1140119661.8287127</v>
      </c>
      <c r="F67">
        <v>528590.88871264458</v>
      </c>
      <c r="G67">
        <f t="shared" ref="G67:G130" si="9">(B67 - C67)^2</f>
        <v>8552024485329609</v>
      </c>
      <c r="H67">
        <f t="shared" ref="H67:H130" si="10">ABS(B67 - C67)</f>
        <v>92477156.559496403</v>
      </c>
      <c r="I67">
        <f t="shared" ref="I67:I130" si="11">ABS((B67 - C67) / B67)</f>
        <v>8.1149421856399714E-2</v>
      </c>
      <c r="J67">
        <f t="shared" ref="J67:J130" si="12">(B67 - D67)^2</f>
        <v>13441582101140.273</v>
      </c>
      <c r="K67">
        <f t="shared" ref="K67:K130" si="13">ABS(B67 - D67)</f>
        <v>3666276.3263480663</v>
      </c>
      <c r="L67">
        <f t="shared" ref="L67:L130" si="14">ABS((B67 - D67) / B67)</f>
        <v>3.2171859010126425E-3</v>
      </c>
      <c r="M67">
        <f t="shared" ref="M67:M130" si="15">(B67 - E67)^2</f>
        <v>279408327630.02338</v>
      </c>
      <c r="N67">
        <f t="shared" ref="N67:N130" si="16">ABS(B67 - E67)</f>
        <v>528590.88871264458</v>
      </c>
      <c r="O67">
        <f t="shared" ref="O67:O130" si="17">ABS((B67 - E67) / B67)</f>
        <v>4.6384260301077343E-4</v>
      </c>
    </row>
    <row r="68" spans="1:15" x14ac:dyDescent="0.35">
      <c r="A68">
        <v>67</v>
      </c>
      <c r="B68">
        <v>1116655790.95</v>
      </c>
      <c r="C68">
        <v>1159300094.5525148</v>
      </c>
      <c r="D68">
        <v>1147868866.2029777</v>
      </c>
      <c r="E68">
        <v>1145418033.132714</v>
      </c>
      <c r="F68">
        <v>28762242.182713985</v>
      </c>
      <c r="G68">
        <f t="shared" si="9"/>
        <v>1818536629743452</v>
      </c>
      <c r="H68">
        <f t="shared" si="10"/>
        <v>42644303.602514744</v>
      </c>
      <c r="I68">
        <f t="shared" si="11"/>
        <v>3.8189300541964601E-2</v>
      </c>
      <c r="J68">
        <f t="shared" si="12"/>
        <v>974256066748043.25</v>
      </c>
      <c r="K68">
        <f t="shared" si="13"/>
        <v>31213075.25297761</v>
      </c>
      <c r="L68">
        <f t="shared" si="14"/>
        <v>2.7952279929003853E-2</v>
      </c>
      <c r="M68">
        <f t="shared" si="15"/>
        <v>827266575377091.75</v>
      </c>
      <c r="N68">
        <f t="shared" si="16"/>
        <v>28762242.182713985</v>
      </c>
      <c r="O68">
        <f t="shared" si="17"/>
        <v>2.5757482669072424E-2</v>
      </c>
    </row>
    <row r="69" spans="1:15" x14ac:dyDescent="0.35">
      <c r="A69">
        <v>68</v>
      </c>
      <c r="B69">
        <v>1155532521.1900001</v>
      </c>
      <c r="C69">
        <v>1237801164.7838945</v>
      </c>
      <c r="D69">
        <v>1148377129.8112826</v>
      </c>
      <c r="E69">
        <v>1145407674.9846883</v>
      </c>
      <c r="F69">
        <v>10124846.205311775</v>
      </c>
      <c r="G69">
        <f t="shared" si="9"/>
        <v>6768129718779236</v>
      </c>
      <c r="H69">
        <f t="shared" si="10"/>
        <v>82268643.593894482</v>
      </c>
      <c r="I69">
        <f t="shared" si="11"/>
        <v>7.1195437675065962E-2</v>
      </c>
      <c r="J69">
        <f t="shared" si="12"/>
        <v>51199625782623.617</v>
      </c>
      <c r="K69">
        <f t="shared" si="13"/>
        <v>7155391.3787174225</v>
      </c>
      <c r="L69">
        <f t="shared" si="14"/>
        <v>6.1922890507214784E-3</v>
      </c>
      <c r="M69">
        <f t="shared" si="15"/>
        <v>102512510681216.25</v>
      </c>
      <c r="N69">
        <f t="shared" si="16"/>
        <v>10124846.205311775</v>
      </c>
      <c r="O69">
        <f t="shared" si="17"/>
        <v>8.7620607985008699E-3</v>
      </c>
    </row>
    <row r="70" spans="1:15" x14ac:dyDescent="0.35">
      <c r="A70">
        <v>69</v>
      </c>
      <c r="B70">
        <v>1178868014.75</v>
      </c>
      <c r="C70">
        <v>1339611401.7303615</v>
      </c>
      <c r="D70">
        <v>1147778143.1133716</v>
      </c>
      <c r="E70">
        <v>1146145841.8554988</v>
      </c>
      <c r="F70">
        <v>32722172.894501209</v>
      </c>
      <c r="G70">
        <f t="shared" si="9"/>
        <v>2.583843645791824E+16</v>
      </c>
      <c r="H70">
        <f t="shared" si="10"/>
        <v>160743386.98036146</v>
      </c>
      <c r="I70">
        <f t="shared" si="11"/>
        <v>0.13635401501197736</v>
      </c>
      <c r="J70">
        <f t="shared" si="12"/>
        <v>966580118382030.38</v>
      </c>
      <c r="K70">
        <f t="shared" si="13"/>
        <v>31089871.636628389</v>
      </c>
      <c r="L70">
        <f t="shared" si="14"/>
        <v>2.6372648377623133E-2</v>
      </c>
      <c r="M70">
        <f t="shared" si="15"/>
        <v>1070740598937629.6</v>
      </c>
      <c r="N70">
        <f t="shared" si="16"/>
        <v>32722172.894501209</v>
      </c>
      <c r="O70">
        <f t="shared" si="17"/>
        <v>2.7757282821385676E-2</v>
      </c>
    </row>
    <row r="71" spans="1:15" x14ac:dyDescent="0.35">
      <c r="A71">
        <v>70</v>
      </c>
      <c r="B71">
        <v>1185812035.51</v>
      </c>
      <c r="C71">
        <v>1251884436.2055774</v>
      </c>
      <c r="D71">
        <v>1148790622.3181093</v>
      </c>
      <c r="E71">
        <v>1147705755.136363</v>
      </c>
      <c r="F71">
        <v>38106280.373636961</v>
      </c>
      <c r="G71">
        <f t="shared" si="9"/>
        <v>4365562133676934.5</v>
      </c>
      <c r="H71">
        <f t="shared" si="10"/>
        <v>66072400.695577383</v>
      </c>
      <c r="I71">
        <f t="shared" si="11"/>
        <v>5.5719117968945756E-2</v>
      </c>
      <c r="J71">
        <f t="shared" si="12"/>
        <v>1370585034724700</v>
      </c>
      <c r="K71">
        <f t="shared" si="13"/>
        <v>37021413.191890717</v>
      </c>
      <c r="L71">
        <f t="shared" si="14"/>
        <v>3.1220304806544117E-2</v>
      </c>
      <c r="M71">
        <f t="shared" si="15"/>
        <v>1452088603914229.5</v>
      </c>
      <c r="N71">
        <f t="shared" si="16"/>
        <v>38106280.373636961</v>
      </c>
      <c r="O71">
        <f t="shared" si="17"/>
        <v>3.2135177610377368E-2</v>
      </c>
    </row>
    <row r="72" spans="1:15" x14ac:dyDescent="0.35">
      <c r="A72">
        <v>71</v>
      </c>
      <c r="B72">
        <v>1192365129.8599999</v>
      </c>
      <c r="C72">
        <v>1225494851.5149291</v>
      </c>
      <c r="D72">
        <v>1151634231.5991476</v>
      </c>
      <c r="E72">
        <v>1150317556.2081325</v>
      </c>
      <c r="F72">
        <v>42047573.65186739</v>
      </c>
      <c r="G72">
        <f t="shared" si="9"/>
        <v>1097578456933082.3</v>
      </c>
      <c r="H72">
        <f t="shared" si="10"/>
        <v>33129721.654929161</v>
      </c>
      <c r="I72">
        <f t="shared" si="11"/>
        <v>2.7784879669215962E-2</v>
      </c>
      <c r="J72">
        <f t="shared" si="12"/>
        <v>1659006073135904</v>
      </c>
      <c r="K72">
        <f t="shared" si="13"/>
        <v>40730898.260852337</v>
      </c>
      <c r="L72">
        <f t="shared" si="14"/>
        <v>3.4159752948859472E-2</v>
      </c>
      <c r="M72">
        <f t="shared" si="15"/>
        <v>1767998450009212.8</v>
      </c>
      <c r="N72">
        <f t="shared" si="16"/>
        <v>42047573.65186739</v>
      </c>
      <c r="O72">
        <f t="shared" si="17"/>
        <v>3.5264008145562221E-2</v>
      </c>
    </row>
    <row r="73" spans="1:15" x14ac:dyDescent="0.35">
      <c r="A73">
        <v>72</v>
      </c>
      <c r="B73">
        <v>1203625368.22</v>
      </c>
      <c r="C73">
        <v>1242977024.1991761</v>
      </c>
      <c r="D73">
        <v>1155832377.0881233</v>
      </c>
      <c r="E73">
        <v>1153782892.4890697</v>
      </c>
      <c r="F73">
        <v>49842475.730930328</v>
      </c>
      <c r="G73">
        <f t="shared" si="9"/>
        <v>1548552828303421.8</v>
      </c>
      <c r="H73">
        <f t="shared" si="10"/>
        <v>39351655.979176044</v>
      </c>
      <c r="I73">
        <f t="shared" si="11"/>
        <v>3.2694272668390041E-2</v>
      </c>
      <c r="J73">
        <f t="shared" si="12"/>
        <v>2284170001331645.5</v>
      </c>
      <c r="K73">
        <f t="shared" si="13"/>
        <v>47792991.131876707</v>
      </c>
      <c r="L73">
        <f t="shared" si="14"/>
        <v>3.9707530593639871E-2</v>
      </c>
      <c r="M73">
        <f t="shared" si="15"/>
        <v>2484272386988379</v>
      </c>
      <c r="N73">
        <f t="shared" si="16"/>
        <v>49842475.730930328</v>
      </c>
      <c r="O73">
        <f t="shared" si="17"/>
        <v>4.1410290150863671E-2</v>
      </c>
    </row>
    <row r="74" spans="1:15" x14ac:dyDescent="0.35">
      <c r="A74">
        <v>73</v>
      </c>
      <c r="B74">
        <v>1207803655.23</v>
      </c>
      <c r="C74">
        <v>1245134971.7045696</v>
      </c>
      <c r="D74">
        <v>1161245283.3162732</v>
      </c>
      <c r="E74">
        <v>1166796655.3622863</v>
      </c>
      <c r="F74">
        <v>41006999.86771369</v>
      </c>
      <c r="G74">
        <f t="shared" si="9"/>
        <v>1393627189724468.5</v>
      </c>
      <c r="H74">
        <f t="shared" si="10"/>
        <v>37331316.474569559</v>
      </c>
      <c r="I74">
        <f t="shared" si="11"/>
        <v>3.0908431443238692E-2</v>
      </c>
      <c r="J74">
        <f t="shared" si="12"/>
        <v>2167681995256905.3</v>
      </c>
      <c r="K74">
        <f t="shared" si="13"/>
        <v>46558371.913726807</v>
      </c>
      <c r="L74">
        <f t="shared" si="14"/>
        <v>3.854796407687703E-2</v>
      </c>
      <c r="M74">
        <f t="shared" si="15"/>
        <v>1681574038150670.5</v>
      </c>
      <c r="N74">
        <f t="shared" si="16"/>
        <v>41006999.86771369</v>
      </c>
      <c r="O74">
        <f t="shared" si="17"/>
        <v>3.3951710354697344E-2</v>
      </c>
    </row>
    <row r="75" spans="1:15" x14ac:dyDescent="0.35">
      <c r="A75">
        <v>74</v>
      </c>
      <c r="B75">
        <v>1233208159.6099999</v>
      </c>
      <c r="C75">
        <v>1236017896.4950235</v>
      </c>
      <c r="D75">
        <v>1167484460.2030399</v>
      </c>
      <c r="E75">
        <v>1171748683.5328703</v>
      </c>
      <c r="F75">
        <v>61459476.077129602</v>
      </c>
      <c r="G75">
        <f t="shared" si="9"/>
        <v>7894621363062.0889</v>
      </c>
      <c r="H75">
        <f t="shared" si="10"/>
        <v>2809736.8850235939</v>
      </c>
      <c r="I75">
        <f t="shared" si="11"/>
        <v>2.2783962813805649E-3</v>
      </c>
      <c r="J75">
        <f t="shared" si="12"/>
        <v>4319604663736435.5</v>
      </c>
      <c r="K75">
        <f t="shared" si="13"/>
        <v>65723699.406960011</v>
      </c>
      <c r="L75">
        <f t="shared" si="14"/>
        <v>5.329489502221995E-2</v>
      </c>
      <c r="M75">
        <f t="shared" si="15"/>
        <v>3777267199675266</v>
      </c>
      <c r="N75">
        <f t="shared" si="16"/>
        <v>61459476.077129602</v>
      </c>
      <c r="O75">
        <f t="shared" si="17"/>
        <v>4.983706570394901E-2</v>
      </c>
    </row>
    <row r="76" spans="1:15" x14ac:dyDescent="0.35">
      <c r="A76">
        <v>75</v>
      </c>
      <c r="B76">
        <v>1269801187.4400001</v>
      </c>
      <c r="C76">
        <v>1243259313.4976747</v>
      </c>
      <c r="D76">
        <v>1175134369.2272637</v>
      </c>
      <c r="E76">
        <v>1168987701.3176937</v>
      </c>
      <c r="F76">
        <v>100813486.12230635</v>
      </c>
      <c r="G76">
        <f t="shared" si="9"/>
        <v>704471072370289.63</v>
      </c>
      <c r="H76">
        <f t="shared" si="10"/>
        <v>26541873.942325354</v>
      </c>
      <c r="I76">
        <f t="shared" si="11"/>
        <v>2.0902385511101514E-2</v>
      </c>
      <c r="J76">
        <f t="shared" si="12"/>
        <v>8961806470523274</v>
      </c>
      <c r="K76">
        <f t="shared" si="13"/>
        <v>94666818.212736368</v>
      </c>
      <c r="L76">
        <f t="shared" si="14"/>
        <v>7.455247258320076E-2</v>
      </c>
      <c r="M76">
        <f t="shared" si="15"/>
        <v>1.0163358984132454E+16</v>
      </c>
      <c r="N76">
        <f t="shared" si="16"/>
        <v>100813486.12230635</v>
      </c>
      <c r="O76">
        <f t="shared" si="17"/>
        <v>7.9393126356695848E-2</v>
      </c>
    </row>
    <row r="77" spans="1:15" x14ac:dyDescent="0.35">
      <c r="A77">
        <v>76</v>
      </c>
      <c r="B77">
        <v>1254618423.6800001</v>
      </c>
      <c r="C77">
        <v>1278703110.1546776</v>
      </c>
      <c r="D77">
        <v>1185588121.7688403</v>
      </c>
      <c r="E77">
        <v>1181457244.7124465</v>
      </c>
      <c r="F77">
        <v>73161178.967553616</v>
      </c>
      <c r="G77">
        <f t="shared" si="9"/>
        <v>580072122583516.38</v>
      </c>
      <c r="H77">
        <f t="shared" si="10"/>
        <v>24084686.474677563</v>
      </c>
      <c r="I77">
        <f t="shared" si="11"/>
        <v>1.9196821934140944E-2</v>
      </c>
      <c r="J77">
        <f t="shared" si="12"/>
        <v>4765182581945866</v>
      </c>
      <c r="K77">
        <f t="shared" si="13"/>
        <v>69030301.911159754</v>
      </c>
      <c r="L77">
        <f t="shared" si="14"/>
        <v>5.5020953469408364E-2</v>
      </c>
      <c r="M77">
        <f t="shared" si="15"/>
        <v>5352558107922410</v>
      </c>
      <c r="N77">
        <f t="shared" si="16"/>
        <v>73161178.967553616</v>
      </c>
      <c r="O77">
        <f t="shared" si="17"/>
        <v>5.8313490051389465E-2</v>
      </c>
    </row>
    <row r="78" spans="1:15" x14ac:dyDescent="0.35">
      <c r="A78">
        <v>77</v>
      </c>
      <c r="B78">
        <v>1214445007.3099999</v>
      </c>
      <c r="C78">
        <v>1364105921.5689628</v>
      </c>
      <c r="D78">
        <v>1197142457.3029609</v>
      </c>
      <c r="E78">
        <v>1196761825.1278026</v>
      </c>
      <c r="F78">
        <v>17683182.182197332</v>
      </c>
      <c r="G78">
        <f t="shared" si="9"/>
        <v>2.2398389256828636E+16</v>
      </c>
      <c r="H78">
        <f t="shared" si="10"/>
        <v>149660914.25896287</v>
      </c>
      <c r="I78">
        <f t="shared" si="11"/>
        <v>0.12323399854099802</v>
      </c>
      <c r="J78">
        <f t="shared" si="12"/>
        <v>299378236746087.75</v>
      </c>
      <c r="K78">
        <f t="shared" si="13"/>
        <v>17302550.00703907</v>
      </c>
      <c r="L78">
        <f t="shared" si="14"/>
        <v>1.4247289834361689E-2</v>
      </c>
      <c r="M78">
        <f t="shared" si="15"/>
        <v>312694932088781.19</v>
      </c>
      <c r="N78">
        <f t="shared" si="16"/>
        <v>17683182.182197332</v>
      </c>
      <c r="O78">
        <f t="shared" si="17"/>
        <v>1.4560710510363613E-2</v>
      </c>
    </row>
    <row r="79" spans="1:15" x14ac:dyDescent="0.35">
      <c r="A79">
        <v>78</v>
      </c>
      <c r="B79">
        <v>1180966811.1800001</v>
      </c>
      <c r="C79">
        <v>1364105921.5689628</v>
      </c>
      <c r="D79">
        <v>1206039749.2796817</v>
      </c>
      <c r="E79">
        <v>1193553894.7782674</v>
      </c>
      <c r="F79">
        <v>12587083.598267317</v>
      </c>
      <c r="G79">
        <f t="shared" si="9"/>
        <v>3.3539933754060684E+16</v>
      </c>
      <c r="H79">
        <f t="shared" si="10"/>
        <v>183139110.38896275</v>
      </c>
      <c r="I79">
        <f t="shared" si="11"/>
        <v>0.15507557761591417</v>
      </c>
      <c r="J79">
        <f t="shared" si="12"/>
        <v>628652224950466</v>
      </c>
      <c r="K79">
        <f t="shared" si="13"/>
        <v>25072938.099681616</v>
      </c>
      <c r="L79">
        <f t="shared" si="14"/>
        <v>2.1230857516333759E-2</v>
      </c>
      <c r="M79">
        <f t="shared" si="15"/>
        <v>158434673509770.09</v>
      </c>
      <c r="N79">
        <f t="shared" si="16"/>
        <v>12587083.598267317</v>
      </c>
      <c r="O79">
        <f t="shared" si="17"/>
        <v>1.0658287327897501E-2</v>
      </c>
    </row>
    <row r="80" spans="1:15" x14ac:dyDescent="0.35">
      <c r="A80">
        <v>79</v>
      </c>
      <c r="B80">
        <v>1196621879.6300001</v>
      </c>
      <c r="C80">
        <v>1364105921.5689628</v>
      </c>
      <c r="D80">
        <v>1209934889.1741071</v>
      </c>
      <c r="E80">
        <v>1207334041.546227</v>
      </c>
      <c r="F80">
        <v>10712161.916226864</v>
      </c>
      <c r="G80">
        <f t="shared" si="9"/>
        <v>2.8050904304212216E+16</v>
      </c>
      <c r="H80">
        <f t="shared" si="10"/>
        <v>167484041.9389627</v>
      </c>
      <c r="I80">
        <f t="shared" si="11"/>
        <v>0.13996404778320565</v>
      </c>
      <c r="J80">
        <f t="shared" si="12"/>
        <v>177236223121483</v>
      </c>
      <c r="K80">
        <f t="shared" si="13"/>
        <v>13313009.54410696</v>
      </c>
      <c r="L80">
        <f t="shared" si="14"/>
        <v>1.1125494001683632E-2</v>
      </c>
      <c r="M80">
        <f t="shared" si="15"/>
        <v>114750412919461.2</v>
      </c>
      <c r="N80">
        <f t="shared" si="16"/>
        <v>10712161.916226864</v>
      </c>
      <c r="O80">
        <f t="shared" si="17"/>
        <v>8.9520023815201372E-3</v>
      </c>
    </row>
    <row r="81" spans="1:15" x14ac:dyDescent="0.35">
      <c r="A81">
        <v>80</v>
      </c>
      <c r="B81">
        <v>1165892004.9300001</v>
      </c>
      <c r="C81">
        <v>1364105921.5689628</v>
      </c>
      <c r="D81">
        <v>1210475536.8773894</v>
      </c>
      <c r="E81">
        <v>1201547646.6932817</v>
      </c>
      <c r="F81">
        <v>35655641.763281584</v>
      </c>
      <c r="G81">
        <f t="shared" si="9"/>
        <v>3.9288756749357672E+16</v>
      </c>
      <c r="H81">
        <f t="shared" si="10"/>
        <v>198213916.63896275</v>
      </c>
      <c r="I81">
        <f t="shared" si="11"/>
        <v>0.17001052910630729</v>
      </c>
      <c r="J81">
        <f t="shared" si="12"/>
        <v>1987691320903888</v>
      </c>
      <c r="K81">
        <f t="shared" si="13"/>
        <v>44583531.947389364</v>
      </c>
      <c r="L81">
        <f t="shared" si="14"/>
        <v>3.8239847051756863E-2</v>
      </c>
      <c r="M81">
        <f t="shared" si="15"/>
        <v>1271324789551469.8</v>
      </c>
      <c r="N81">
        <f t="shared" si="16"/>
        <v>35655641.763281584</v>
      </c>
      <c r="O81">
        <f t="shared" si="17"/>
        <v>3.0582285162357163E-2</v>
      </c>
    </row>
    <row r="82" spans="1:15" x14ac:dyDescent="0.35">
      <c r="A82">
        <v>81</v>
      </c>
      <c r="B82">
        <v>1150986504.49</v>
      </c>
      <c r="C82">
        <v>1363302510.2715065</v>
      </c>
      <c r="D82">
        <v>1207913859.7173314</v>
      </c>
      <c r="E82">
        <v>1202406896.7427397</v>
      </c>
      <c r="F82">
        <v>51420392.252739668</v>
      </c>
      <c r="G82">
        <f t="shared" si="9"/>
        <v>4.507808631101272E+16</v>
      </c>
      <c r="H82">
        <f t="shared" si="10"/>
        <v>212316005.78150654</v>
      </c>
      <c r="I82">
        <f t="shared" si="11"/>
        <v>0.18446437465014706</v>
      </c>
      <c r="J82">
        <f t="shared" si="12"/>
        <v>3240723773178775.5</v>
      </c>
      <c r="K82">
        <f t="shared" si="13"/>
        <v>56927355.2273314</v>
      </c>
      <c r="L82">
        <f t="shared" si="14"/>
        <v>4.9459620078304747E-2</v>
      </c>
      <c r="M82">
        <f t="shared" si="15"/>
        <v>2644056739425609.5</v>
      </c>
      <c r="N82">
        <f t="shared" si="16"/>
        <v>51420392.252739668</v>
      </c>
      <c r="O82">
        <f t="shared" si="17"/>
        <v>4.467506096044449E-2</v>
      </c>
    </row>
    <row r="83" spans="1:15" x14ac:dyDescent="0.35">
      <c r="A83">
        <v>82</v>
      </c>
      <c r="B83">
        <v>1196262823.8499999</v>
      </c>
      <c r="C83">
        <v>1364105921.5689628</v>
      </c>
      <c r="D83">
        <v>1202102105.2605984</v>
      </c>
      <c r="E83">
        <v>1200900917.2671134</v>
      </c>
      <c r="F83">
        <v>4638093.4171135426</v>
      </c>
      <c r="G83">
        <f t="shared" si="9"/>
        <v>2.8171305451897332E+16</v>
      </c>
      <c r="H83">
        <f t="shared" si="10"/>
        <v>167843097.71896291</v>
      </c>
      <c r="I83">
        <f t="shared" si="11"/>
        <v>0.14030620560353455</v>
      </c>
      <c r="J83">
        <f t="shared" si="12"/>
        <v>34097207392161.398</v>
      </c>
      <c r="K83">
        <f t="shared" si="13"/>
        <v>5839281.4105985165</v>
      </c>
      <c r="L83">
        <f t="shared" si="14"/>
        <v>4.8812696459174659E-3</v>
      </c>
      <c r="M83">
        <f t="shared" si="15"/>
        <v>21511910545871.977</v>
      </c>
      <c r="N83">
        <f t="shared" si="16"/>
        <v>4638093.4171135426</v>
      </c>
      <c r="O83">
        <f t="shared" si="17"/>
        <v>3.8771525158547565E-3</v>
      </c>
    </row>
    <row r="84" spans="1:15" x14ac:dyDescent="0.35">
      <c r="A84">
        <v>83</v>
      </c>
      <c r="B84">
        <v>1190978054.5699999</v>
      </c>
      <c r="C84">
        <v>1278703110.1546776</v>
      </c>
      <c r="D84">
        <v>1196642646.8959186</v>
      </c>
      <c r="E84">
        <v>1198943108.2310476</v>
      </c>
      <c r="F84">
        <v>7965053.6610476971</v>
      </c>
      <c r="G84">
        <f t="shared" si="9"/>
        <v>7695685377334791</v>
      </c>
      <c r="H84">
        <f t="shared" si="10"/>
        <v>87725055.584677696</v>
      </c>
      <c r="I84">
        <f t="shared" si="11"/>
        <v>7.365799499668417E-2</v>
      </c>
      <c r="J84">
        <f t="shared" si="12"/>
        <v>32087606218856.738</v>
      </c>
      <c r="K84">
        <f t="shared" si="13"/>
        <v>5664592.3259186745</v>
      </c>
      <c r="L84">
        <f t="shared" si="14"/>
        <v>4.7562524802053242E-3</v>
      </c>
      <c r="M84">
        <f t="shared" si="15"/>
        <v>63442079823369.32</v>
      </c>
      <c r="N84">
        <f t="shared" si="16"/>
        <v>7965053.6610476971</v>
      </c>
      <c r="O84">
        <f t="shared" si="17"/>
        <v>6.6878257164221739E-3</v>
      </c>
    </row>
    <row r="85" spans="1:15" x14ac:dyDescent="0.35">
      <c r="A85">
        <v>84</v>
      </c>
      <c r="B85">
        <v>1205921384.5599999</v>
      </c>
      <c r="C85">
        <v>1240213303.6230268</v>
      </c>
      <c r="D85">
        <v>1192766080.2324362</v>
      </c>
      <c r="E85">
        <v>1197436771.5779033</v>
      </c>
      <c r="F85">
        <v>8484612.9820966721</v>
      </c>
      <c r="G85">
        <f t="shared" si="9"/>
        <v>1175935713025188</v>
      </c>
      <c r="H85">
        <f t="shared" si="10"/>
        <v>34291919.063026905</v>
      </c>
      <c r="I85">
        <f t="shared" si="11"/>
        <v>2.8436280757670511E-2</v>
      </c>
      <c r="J85">
        <f t="shared" si="12"/>
        <v>173062031950817.88</v>
      </c>
      <c r="K85">
        <f t="shared" si="13"/>
        <v>13155304.327563763</v>
      </c>
      <c r="L85">
        <f t="shared" si="14"/>
        <v>1.0908923662850286E-2</v>
      </c>
      <c r="M85">
        <f t="shared" si="15"/>
        <v>71988657455963.375</v>
      </c>
      <c r="N85">
        <f t="shared" si="16"/>
        <v>8484612.9820966721</v>
      </c>
      <c r="O85">
        <f t="shared" si="17"/>
        <v>7.0357927894216929E-3</v>
      </c>
    </row>
    <row r="86" spans="1:15" x14ac:dyDescent="0.35">
      <c r="A86">
        <v>85</v>
      </c>
      <c r="B86">
        <v>1164776312.74</v>
      </c>
      <c r="C86">
        <v>1275657100.2800298</v>
      </c>
      <c r="D86">
        <v>1190648017.549901</v>
      </c>
      <c r="E86">
        <v>1211660890.0009038</v>
      </c>
      <c r="F86">
        <v>46884577.260903835</v>
      </c>
      <c r="G86">
        <f t="shared" si="9"/>
        <v>1.229454904549722E+16</v>
      </c>
      <c r="H86">
        <f t="shared" si="10"/>
        <v>110880787.54002976</v>
      </c>
      <c r="I86">
        <f t="shared" si="11"/>
        <v>9.5194919683072615E-2</v>
      </c>
      <c r="J86">
        <f t="shared" si="12"/>
        <v>669345109770654.5</v>
      </c>
      <c r="K86">
        <f t="shared" si="13"/>
        <v>25871704.809900999</v>
      </c>
      <c r="L86">
        <f t="shared" si="14"/>
        <v>2.2211736731699874E-2</v>
      </c>
      <c r="M86">
        <f t="shared" si="15"/>
        <v>2198163584933661</v>
      </c>
      <c r="N86">
        <f t="shared" si="16"/>
        <v>46884577.260903835</v>
      </c>
      <c r="O86">
        <f t="shared" si="17"/>
        <v>4.0252000961981581E-2</v>
      </c>
    </row>
    <row r="87" spans="1:15" x14ac:dyDescent="0.35">
      <c r="A87">
        <v>86</v>
      </c>
      <c r="B87">
        <v>1127141997.9100001</v>
      </c>
      <c r="C87">
        <v>1243259313.4976747</v>
      </c>
      <c r="D87">
        <v>1188070743.6382179</v>
      </c>
      <c r="E87">
        <v>1210343738.3731978</v>
      </c>
      <c r="F87">
        <v>83201740.463197708</v>
      </c>
      <c r="G87">
        <f t="shared" si="9"/>
        <v>1.3483230979287622E+16</v>
      </c>
      <c r="H87">
        <f t="shared" si="10"/>
        <v>116117315.58767462</v>
      </c>
      <c r="I87">
        <f t="shared" si="11"/>
        <v>0.10301924318584954</v>
      </c>
      <c r="J87">
        <f t="shared" si="12"/>
        <v>3712312056013823.5</v>
      </c>
      <c r="K87">
        <f t="shared" si="13"/>
        <v>60928745.72821784</v>
      </c>
      <c r="L87">
        <f t="shared" si="14"/>
        <v>5.4055962639307911E-2</v>
      </c>
      <c r="M87">
        <f t="shared" si="15"/>
        <v>6922529616105311</v>
      </c>
      <c r="N87">
        <f t="shared" si="16"/>
        <v>83201740.463197708</v>
      </c>
      <c r="O87">
        <f t="shared" si="17"/>
        <v>7.3816556048372173E-2</v>
      </c>
    </row>
    <row r="88" spans="1:15" x14ac:dyDescent="0.35">
      <c r="A88">
        <v>87</v>
      </c>
      <c r="B88">
        <v>1126824715.4300001</v>
      </c>
      <c r="C88">
        <v>1168845306.5471308</v>
      </c>
      <c r="D88">
        <v>1182399598.0644569</v>
      </c>
      <c r="E88">
        <v>1191894209.9106708</v>
      </c>
      <c r="F88">
        <v>65069494.480670691</v>
      </c>
      <c r="G88">
        <f t="shared" si="9"/>
        <v>1765730077833088.3</v>
      </c>
      <c r="H88">
        <f t="shared" si="10"/>
        <v>42020591.117130756</v>
      </c>
      <c r="I88">
        <f t="shared" si="11"/>
        <v>3.7291151446829561E-2</v>
      </c>
      <c r="J88">
        <f t="shared" si="12"/>
        <v>3088567579833656</v>
      </c>
      <c r="K88">
        <f t="shared" si="13"/>
        <v>55574882.634456873</v>
      </c>
      <c r="L88">
        <f t="shared" si="14"/>
        <v>4.931990031231194E-2</v>
      </c>
      <c r="M88">
        <f t="shared" si="15"/>
        <v>4234039111970033.5</v>
      </c>
      <c r="N88">
        <f t="shared" si="16"/>
        <v>65069494.480670691</v>
      </c>
      <c r="O88">
        <f t="shared" si="17"/>
        <v>5.7745888592654761E-2</v>
      </c>
    </row>
    <row r="89" spans="1:15" x14ac:dyDescent="0.35">
      <c r="A89">
        <v>88</v>
      </c>
      <c r="B89">
        <v>1118924228.95</v>
      </c>
      <c r="C89">
        <v>1191752648.554317</v>
      </c>
      <c r="D89">
        <v>1174309646.3378921</v>
      </c>
      <c r="E89">
        <v>1186693109.9507747</v>
      </c>
      <c r="F89">
        <v>67768881.000774622</v>
      </c>
      <c r="G89">
        <f t="shared" si="9"/>
        <v>5303978702062457</v>
      </c>
      <c r="H89">
        <f t="shared" si="10"/>
        <v>72828419.60431695</v>
      </c>
      <c r="I89">
        <f t="shared" si="11"/>
        <v>6.5087892209340428E-2</v>
      </c>
      <c r="J89">
        <f t="shared" si="12"/>
        <v>3067544459231010.5</v>
      </c>
      <c r="K89">
        <f t="shared" si="13"/>
        <v>55385417.387892008</v>
      </c>
      <c r="L89">
        <f t="shared" si="14"/>
        <v>4.9498809619902287E-2</v>
      </c>
      <c r="M89">
        <f t="shared" si="15"/>
        <v>4592621232097152</v>
      </c>
      <c r="N89">
        <f t="shared" si="16"/>
        <v>67768881.000774622</v>
      </c>
      <c r="O89">
        <f t="shared" si="17"/>
        <v>6.0566103805231773E-2</v>
      </c>
    </row>
    <row r="90" spans="1:15" x14ac:dyDescent="0.35">
      <c r="A90">
        <v>89</v>
      </c>
      <c r="B90">
        <v>1133381050.8199999</v>
      </c>
      <c r="C90">
        <v>1266000925.1364467</v>
      </c>
      <c r="D90">
        <v>1165003147.9845622</v>
      </c>
      <c r="E90">
        <v>1180317134.0745623</v>
      </c>
      <c r="F90">
        <v>46936083.254562378</v>
      </c>
      <c r="G90">
        <f t="shared" si="9"/>
        <v>1.758803106371014E+16</v>
      </c>
      <c r="H90">
        <f t="shared" si="10"/>
        <v>132619874.31644678</v>
      </c>
      <c r="I90">
        <f t="shared" si="11"/>
        <v>0.11701260950189386</v>
      </c>
      <c r="J90">
        <f t="shared" si="12"/>
        <v>999957029085014.38</v>
      </c>
      <c r="K90">
        <f t="shared" si="13"/>
        <v>31622097.164562225</v>
      </c>
      <c r="L90">
        <f t="shared" si="14"/>
        <v>2.7900675718624087E-2</v>
      </c>
      <c r="M90">
        <f t="shared" si="15"/>
        <v>2202995911279210.8</v>
      </c>
      <c r="N90">
        <f t="shared" si="16"/>
        <v>46936083.254562378</v>
      </c>
      <c r="O90">
        <f t="shared" si="17"/>
        <v>4.141244749116299E-2</v>
      </c>
    </row>
    <row r="91" spans="1:15" x14ac:dyDescent="0.35">
      <c r="A91">
        <v>90</v>
      </c>
      <c r="B91">
        <v>1156491736.1500001</v>
      </c>
      <c r="C91">
        <v>1164933855.5460441</v>
      </c>
      <c r="D91">
        <v>1156168957.3693783</v>
      </c>
      <c r="E91">
        <v>1173729590.0484421</v>
      </c>
      <c r="F91">
        <v>17237853.89844203</v>
      </c>
      <c r="G91">
        <f t="shared" si="9"/>
        <v>71269379897062.578</v>
      </c>
      <c r="H91">
        <f t="shared" si="10"/>
        <v>8442119.3960440159</v>
      </c>
      <c r="I91">
        <f t="shared" si="11"/>
        <v>7.2997662950434177E-3</v>
      </c>
      <c r="J91">
        <f t="shared" si="12"/>
        <v>104186141219.67482</v>
      </c>
      <c r="K91">
        <f t="shared" si="13"/>
        <v>322778.78062176704</v>
      </c>
      <c r="L91">
        <f t="shared" si="14"/>
        <v>2.7910167494694639E-4</v>
      </c>
      <c r="M91">
        <f t="shared" si="15"/>
        <v>297143607024033.06</v>
      </c>
      <c r="N91">
        <f t="shared" si="16"/>
        <v>17237853.89844203</v>
      </c>
      <c r="O91">
        <f t="shared" si="17"/>
        <v>1.4905297945169435E-2</v>
      </c>
    </row>
    <row r="92" spans="1:15" x14ac:dyDescent="0.35">
      <c r="A92">
        <v>91</v>
      </c>
      <c r="B92">
        <v>1153046454.9100001</v>
      </c>
      <c r="C92">
        <v>1192404259.4065664</v>
      </c>
      <c r="D92">
        <v>1149818341.0969536</v>
      </c>
      <c r="E92">
        <v>1168202387.0144894</v>
      </c>
      <c r="F92">
        <v>15155932.104489326</v>
      </c>
      <c r="G92">
        <f t="shared" si="9"/>
        <v>1549036774789934</v>
      </c>
      <c r="H92">
        <f t="shared" si="10"/>
        <v>39357804.496566296</v>
      </c>
      <c r="I92">
        <f t="shared" si="11"/>
        <v>3.4133754393823039E-2</v>
      </c>
      <c r="J92">
        <f t="shared" si="12"/>
        <v>10420718789981.326</v>
      </c>
      <c r="K92">
        <f t="shared" si="13"/>
        <v>3228113.8130464554</v>
      </c>
      <c r="L92">
        <f t="shared" si="14"/>
        <v>2.7996389905196165E-3</v>
      </c>
      <c r="M92">
        <f t="shared" si="15"/>
        <v>229702277955890.25</v>
      </c>
      <c r="N92">
        <f t="shared" si="16"/>
        <v>15155932.104489326</v>
      </c>
      <c r="O92">
        <f t="shared" si="17"/>
        <v>1.3144251075011812E-2</v>
      </c>
    </row>
    <row r="93" spans="1:15" x14ac:dyDescent="0.35">
      <c r="A93">
        <v>92</v>
      </c>
      <c r="B93">
        <v>1135236190.21</v>
      </c>
      <c r="C93">
        <v>1202277479.4220023</v>
      </c>
      <c r="D93">
        <v>1145858552.0717461</v>
      </c>
      <c r="E93">
        <v>1163924709.9981425</v>
      </c>
      <c r="F93">
        <v>28688519.788142443</v>
      </c>
      <c r="G93">
        <f t="shared" si="9"/>
        <v>4494534459207333</v>
      </c>
      <c r="H93">
        <f t="shared" si="10"/>
        <v>67041289.212002277</v>
      </c>
      <c r="I93">
        <f t="shared" si="11"/>
        <v>5.9054926005839135E-2</v>
      </c>
      <c r="J93">
        <f t="shared" si="12"/>
        <v>112834571521877.5</v>
      </c>
      <c r="K93">
        <f t="shared" si="13"/>
        <v>10622361.861746073</v>
      </c>
      <c r="L93">
        <f t="shared" si="14"/>
        <v>9.3569619726280133E-3</v>
      </c>
      <c r="M93">
        <f t="shared" si="15"/>
        <v>823031167634640.5</v>
      </c>
      <c r="N93">
        <f t="shared" si="16"/>
        <v>28688519.788142443</v>
      </c>
      <c r="O93">
        <f t="shared" si="17"/>
        <v>2.5270970072611532E-2</v>
      </c>
    </row>
    <row r="94" spans="1:15" x14ac:dyDescent="0.35">
      <c r="A94">
        <v>93</v>
      </c>
      <c r="B94">
        <v>1137467259.27</v>
      </c>
      <c r="C94">
        <v>1137883730.5651929</v>
      </c>
      <c r="D94">
        <v>1142614784.9112248</v>
      </c>
      <c r="E94">
        <v>1160057429.9501317</v>
      </c>
      <c r="F94">
        <v>22590170.680131674</v>
      </c>
      <c r="G94">
        <f t="shared" si="9"/>
        <v>173448339719.69907</v>
      </c>
      <c r="H94">
        <f t="shared" si="10"/>
        <v>416471.29519295692</v>
      </c>
      <c r="I94">
        <f t="shared" si="11"/>
        <v>3.6613914976351802E-4</v>
      </c>
      <c r="J94">
        <f t="shared" si="12"/>
        <v>26497020227067.418</v>
      </c>
      <c r="K94">
        <f t="shared" si="13"/>
        <v>5147525.6412248611</v>
      </c>
      <c r="L94">
        <f t="shared" si="14"/>
        <v>4.5254275226597933E-3</v>
      </c>
      <c r="M94">
        <f t="shared" si="15"/>
        <v>510315811357480.75</v>
      </c>
      <c r="N94">
        <f t="shared" si="16"/>
        <v>22590170.680131674</v>
      </c>
      <c r="O94">
        <f t="shared" si="17"/>
        <v>1.9860062341160941E-2</v>
      </c>
    </row>
    <row r="95" spans="1:15" x14ac:dyDescent="0.35">
      <c r="A95">
        <v>94</v>
      </c>
      <c r="B95">
        <v>1143575439.73</v>
      </c>
      <c r="C95">
        <v>1141011295.9731481</v>
      </c>
      <c r="D95">
        <v>1139668070.3866184</v>
      </c>
      <c r="E95">
        <v>1156390288.3714488</v>
      </c>
      <c r="F95">
        <v>12814848.641448736</v>
      </c>
      <c r="G95">
        <f t="shared" si="9"/>
        <v>6574833205802.6348</v>
      </c>
      <c r="H95">
        <f t="shared" si="10"/>
        <v>2564143.7568519115</v>
      </c>
      <c r="I95">
        <f t="shared" si="11"/>
        <v>2.2422165322624537E-3</v>
      </c>
      <c r="J95">
        <f t="shared" si="12"/>
        <v>15267535185598.693</v>
      </c>
      <c r="K95">
        <f t="shared" si="13"/>
        <v>3907369.3433816433</v>
      </c>
      <c r="L95">
        <f t="shared" si="14"/>
        <v>3.4168006828689669E-3</v>
      </c>
      <c r="M95">
        <f t="shared" si="15"/>
        <v>164220345703240.53</v>
      </c>
      <c r="N95">
        <f t="shared" si="16"/>
        <v>12814848.641448736</v>
      </c>
      <c r="O95">
        <f t="shared" si="17"/>
        <v>1.1205949512586893E-2</v>
      </c>
    </row>
    <row r="96" spans="1:15" x14ac:dyDescent="0.35">
      <c r="A96">
        <v>95</v>
      </c>
      <c r="B96">
        <v>1172306026.3699999</v>
      </c>
      <c r="C96">
        <v>1138716192.300791</v>
      </c>
      <c r="D96">
        <v>1137513456.5380607</v>
      </c>
      <c r="E96">
        <v>1153233553.4661794</v>
      </c>
      <c r="F96">
        <v>19072472.903820515</v>
      </c>
      <c r="G96">
        <f t="shared" si="9"/>
        <v>1128276952796984.3</v>
      </c>
      <c r="H96">
        <f t="shared" si="10"/>
        <v>33589834.06920886</v>
      </c>
      <c r="I96">
        <f t="shared" si="11"/>
        <v>2.8652786314865647E-2</v>
      </c>
      <c r="J96">
        <f t="shared" si="12"/>
        <v>1210522915510367.3</v>
      </c>
      <c r="K96">
        <f t="shared" si="13"/>
        <v>34792569.83193922</v>
      </c>
      <c r="L96">
        <f t="shared" si="14"/>
        <v>2.9678743475944642E-2</v>
      </c>
      <c r="M96">
        <f t="shared" si="15"/>
        <v>363759222666967.75</v>
      </c>
      <c r="N96">
        <f t="shared" si="16"/>
        <v>19072472.903820515</v>
      </c>
      <c r="O96">
        <f t="shared" si="17"/>
        <v>1.6269192919597698E-2</v>
      </c>
    </row>
    <row r="97" spans="1:15" x14ac:dyDescent="0.35">
      <c r="A97">
        <v>96</v>
      </c>
      <c r="B97">
        <v>1172565781.8</v>
      </c>
      <c r="C97">
        <v>1200106197.2892652</v>
      </c>
      <c r="D97">
        <v>1137572509.8877256</v>
      </c>
      <c r="E97">
        <v>1151469810.8816333</v>
      </c>
      <c r="F97">
        <v>21095970.918366671</v>
      </c>
      <c r="G97">
        <f t="shared" si="9"/>
        <v>758474485321358.75</v>
      </c>
      <c r="H97">
        <f t="shared" si="10"/>
        <v>27540415.489265203</v>
      </c>
      <c r="I97">
        <f t="shared" si="11"/>
        <v>2.3487309553744649E-2</v>
      </c>
      <c r="J97">
        <f t="shared" si="12"/>
        <v>1224529079126369.8</v>
      </c>
      <c r="K97">
        <f t="shared" si="13"/>
        <v>34993271.912274361</v>
      </c>
      <c r="L97">
        <f t="shared" si="14"/>
        <v>2.9843333700695546E-2</v>
      </c>
      <c r="M97">
        <f t="shared" si="15"/>
        <v>445039988988572.31</v>
      </c>
      <c r="N97">
        <f t="shared" si="16"/>
        <v>21095970.918366671</v>
      </c>
      <c r="O97">
        <f t="shared" si="17"/>
        <v>1.7991289909536974E-2</v>
      </c>
    </row>
    <row r="98" spans="1:15" x14ac:dyDescent="0.35">
      <c r="A98">
        <v>97</v>
      </c>
      <c r="B98">
        <v>1226423493.4400001</v>
      </c>
      <c r="C98">
        <v>1204940714.0563831</v>
      </c>
      <c r="D98">
        <v>1139746768.4997807</v>
      </c>
      <c r="E98">
        <v>1151215024.2520308</v>
      </c>
      <c r="F98">
        <v>75208469.187969208</v>
      </c>
      <c r="G98">
        <f t="shared" si="9"/>
        <v>461509810045156.38</v>
      </c>
      <c r="H98">
        <f t="shared" si="10"/>
        <v>21482779.383616924</v>
      </c>
      <c r="I98">
        <f t="shared" si="11"/>
        <v>1.7516607842662728E-2</v>
      </c>
      <c r="J98">
        <f t="shared" si="12"/>
        <v>7512854646362452</v>
      </c>
      <c r="K98">
        <f t="shared" si="13"/>
        <v>86676724.940219402</v>
      </c>
      <c r="L98">
        <f t="shared" si="14"/>
        <v>7.0674384014855679E-2</v>
      </c>
      <c r="M98">
        <f t="shared" si="15"/>
        <v>5656313837597714</v>
      </c>
      <c r="N98">
        <f t="shared" si="16"/>
        <v>75208469.187969208</v>
      </c>
      <c r="O98">
        <f t="shared" si="17"/>
        <v>6.1323408749302963E-2</v>
      </c>
    </row>
    <row r="99" spans="1:15" x14ac:dyDescent="0.35">
      <c r="A99">
        <v>98</v>
      </c>
      <c r="B99">
        <v>1210174612.9300001</v>
      </c>
      <c r="C99">
        <v>1231759626.1238286</v>
      </c>
      <c r="D99">
        <v>1145690559.5790505</v>
      </c>
      <c r="E99">
        <v>1153464647.3204122</v>
      </c>
      <c r="F99">
        <v>56709965.609587908</v>
      </c>
      <c r="G99">
        <f t="shared" si="9"/>
        <v>465912794577754</v>
      </c>
      <c r="H99">
        <f t="shared" si="10"/>
        <v>21585013.193828583</v>
      </c>
      <c r="I99">
        <f t="shared" si="11"/>
        <v>1.7836279957623869E-2</v>
      </c>
      <c r="J99">
        <f t="shared" si="12"/>
        <v>4158193136568105</v>
      </c>
      <c r="K99">
        <f t="shared" si="13"/>
        <v>64484053.350949526</v>
      </c>
      <c r="L99">
        <f t="shared" si="14"/>
        <v>5.3284916624407382E-2</v>
      </c>
      <c r="M99">
        <f t="shared" si="15"/>
        <v>3216020199440643</v>
      </c>
      <c r="N99">
        <f t="shared" si="16"/>
        <v>56709965.609587908</v>
      </c>
      <c r="O99">
        <f t="shared" si="17"/>
        <v>4.6860977749554042E-2</v>
      </c>
    </row>
    <row r="100" spans="1:15" x14ac:dyDescent="0.35">
      <c r="A100">
        <v>99</v>
      </c>
      <c r="B100">
        <v>1225251188.4200001</v>
      </c>
      <c r="C100">
        <v>1243259313.4976747</v>
      </c>
      <c r="D100">
        <v>1154125901.9656513</v>
      </c>
      <c r="E100">
        <v>1157767088.6446831</v>
      </c>
      <c r="F100">
        <v>67484099.775316954</v>
      </c>
      <c r="G100">
        <f t="shared" si="9"/>
        <v>324292568813173.81</v>
      </c>
      <c r="H100">
        <f t="shared" si="10"/>
        <v>18008125.077674627</v>
      </c>
      <c r="I100">
        <f t="shared" si="11"/>
        <v>1.4697496519792541E-2</v>
      </c>
      <c r="J100">
        <f t="shared" si="12"/>
        <v>5058806373213173</v>
      </c>
      <c r="K100">
        <f t="shared" si="13"/>
        <v>71125286.454348803</v>
      </c>
      <c r="L100">
        <f t="shared" si="14"/>
        <v>5.8049555165963232E-2</v>
      </c>
      <c r="M100">
        <f t="shared" si="15"/>
        <v>4554103722484934</v>
      </c>
      <c r="N100">
        <f t="shared" si="16"/>
        <v>67484099.775316954</v>
      </c>
      <c r="O100">
        <f t="shared" si="17"/>
        <v>5.5077767247334666E-2</v>
      </c>
    </row>
    <row r="101" spans="1:15" x14ac:dyDescent="0.35">
      <c r="A101">
        <v>100</v>
      </c>
      <c r="B101">
        <v>1247160884.77</v>
      </c>
      <c r="C101">
        <v>1242455902.2002184</v>
      </c>
      <c r="D101">
        <v>1163687901.3036196</v>
      </c>
      <c r="E101">
        <v>1163314531.7379968</v>
      </c>
      <c r="F101">
        <v>83846353.032003164</v>
      </c>
      <c r="G101">
        <f t="shared" si="9"/>
        <v>22136860981948.121</v>
      </c>
      <c r="H101">
        <f t="shared" si="10"/>
        <v>4704982.5697815418</v>
      </c>
      <c r="I101">
        <f t="shared" si="11"/>
        <v>3.7725546296693145E-3</v>
      </c>
      <c r="J101">
        <f t="shared" si="12"/>
        <v>6967738968778609</v>
      </c>
      <c r="K101">
        <f t="shared" si="13"/>
        <v>83472983.466380358</v>
      </c>
      <c r="L101">
        <f t="shared" si="14"/>
        <v>6.6930405279487543E-2</v>
      </c>
      <c r="M101">
        <f t="shared" si="15"/>
        <v>7030210916767306</v>
      </c>
      <c r="N101">
        <f t="shared" si="16"/>
        <v>83846353.032003164</v>
      </c>
      <c r="O101">
        <f t="shared" si="17"/>
        <v>6.7229780901496131E-2</v>
      </c>
    </row>
    <row r="102" spans="1:15" x14ac:dyDescent="0.35">
      <c r="A102">
        <v>101</v>
      </c>
      <c r="B102">
        <v>1248446331.01</v>
      </c>
      <c r="C102">
        <v>1242455902.2002184</v>
      </c>
      <c r="D102">
        <v>1174736830.6495805</v>
      </c>
      <c r="E102">
        <v>1170331998.4367778</v>
      </c>
      <c r="F102">
        <v>78114332.57322216</v>
      </c>
      <c r="G102">
        <f t="shared" si="9"/>
        <v>35885237325060.813</v>
      </c>
      <c r="H102">
        <f t="shared" si="10"/>
        <v>5990428.8097815514</v>
      </c>
      <c r="I102">
        <f t="shared" si="11"/>
        <v>4.7983070324979539E-3</v>
      </c>
      <c r="J102">
        <f t="shared" si="12"/>
        <v>5433090443382684</v>
      </c>
      <c r="K102">
        <f t="shared" si="13"/>
        <v>73709500.360419512</v>
      </c>
      <c r="L102">
        <f t="shared" si="14"/>
        <v>5.9040984405623685E-2</v>
      </c>
      <c r="M102">
        <f t="shared" si="15"/>
        <v>6101848953359957</v>
      </c>
      <c r="N102">
        <f t="shared" si="16"/>
        <v>78114332.57322216</v>
      </c>
      <c r="O102">
        <f t="shared" si="17"/>
        <v>6.2569235563396011E-2</v>
      </c>
    </row>
    <row r="103" spans="1:15" x14ac:dyDescent="0.35">
      <c r="A103">
        <v>102</v>
      </c>
      <c r="B103">
        <v>1209162951.0799999</v>
      </c>
      <c r="C103">
        <v>1327858713.6145036</v>
      </c>
      <c r="D103">
        <v>1186521902.8604157</v>
      </c>
      <c r="E103">
        <v>1178427069.7077694</v>
      </c>
      <c r="F103">
        <v>30735881.37223053</v>
      </c>
      <c r="G103">
        <f t="shared" si="9"/>
        <v>1.4088684043647292E+16</v>
      </c>
      <c r="H103">
        <f t="shared" si="10"/>
        <v>118695762.5345037</v>
      </c>
      <c r="I103">
        <f t="shared" si="11"/>
        <v>9.8163578720706787E-2</v>
      </c>
      <c r="J103">
        <f t="shared" si="12"/>
        <v>512617064481538.06</v>
      </c>
      <c r="K103">
        <f t="shared" si="13"/>
        <v>22641048.219584227</v>
      </c>
      <c r="L103">
        <f t="shared" si="14"/>
        <v>1.8724563301713553E-2</v>
      </c>
      <c r="M103">
        <f t="shared" si="15"/>
        <v>944694403727827.63</v>
      </c>
      <c r="N103">
        <f t="shared" si="16"/>
        <v>30735881.37223053</v>
      </c>
      <c r="O103">
        <f t="shared" si="17"/>
        <v>2.5419139202683856E-2</v>
      </c>
    </row>
    <row r="104" spans="1:15" x14ac:dyDescent="0.35">
      <c r="A104">
        <v>103</v>
      </c>
      <c r="B104">
        <v>1276003777.8699999</v>
      </c>
      <c r="C104">
        <v>1363302510.2715065</v>
      </c>
      <c r="D104">
        <v>1195936387.8833947</v>
      </c>
      <c r="E104">
        <v>1185762900.6343806</v>
      </c>
      <c r="F104">
        <v>90240877.235619307</v>
      </c>
      <c r="G104">
        <f t="shared" si="9"/>
        <v>7621068678909869</v>
      </c>
      <c r="H104">
        <f t="shared" si="10"/>
        <v>87298732.401506662</v>
      </c>
      <c r="I104">
        <f t="shared" si="11"/>
        <v>6.8415731924581114E-2</v>
      </c>
      <c r="J104">
        <f t="shared" si="12"/>
        <v>6410786939267121</v>
      </c>
      <c r="K104">
        <f t="shared" si="13"/>
        <v>80067389.986605167</v>
      </c>
      <c r="L104">
        <f t="shared" si="14"/>
        <v>6.2748552453551196E-2</v>
      </c>
      <c r="M104">
        <f t="shared" si="15"/>
        <v>8143415924254115</v>
      </c>
      <c r="N104">
        <f t="shared" si="16"/>
        <v>90240877.235619307</v>
      </c>
      <c r="O104">
        <f t="shared" si="17"/>
        <v>7.0721481237505476E-2</v>
      </c>
    </row>
    <row r="105" spans="1:15" x14ac:dyDescent="0.35">
      <c r="A105">
        <v>104</v>
      </c>
      <c r="B105">
        <v>1271157551.8800001</v>
      </c>
      <c r="C105">
        <v>1364105921.5689628</v>
      </c>
      <c r="D105">
        <v>1205511245.612016</v>
      </c>
      <c r="E105">
        <v>1193486864.464031</v>
      </c>
      <c r="F105">
        <v>77670687.415969133</v>
      </c>
      <c r="G105">
        <f t="shared" si="9"/>
        <v>8639399427836080</v>
      </c>
      <c r="H105">
        <f t="shared" si="10"/>
        <v>92948369.688962698</v>
      </c>
      <c r="I105">
        <f t="shared" si="11"/>
        <v>7.3121045893559874E-2</v>
      </c>
      <c r="J105">
        <f t="shared" si="12"/>
        <v>4309437526629975.5</v>
      </c>
      <c r="K105">
        <f t="shared" si="13"/>
        <v>65646306.267984152</v>
      </c>
      <c r="L105">
        <f t="shared" si="14"/>
        <v>5.1642934560625811E-2</v>
      </c>
      <c r="M105">
        <f t="shared" si="15"/>
        <v>6032735683669186</v>
      </c>
      <c r="N105">
        <f t="shared" si="16"/>
        <v>77670687.415969133</v>
      </c>
      <c r="O105">
        <f t="shared" si="17"/>
        <v>6.1102329369869805E-2</v>
      </c>
    </row>
    <row r="106" spans="1:15" x14ac:dyDescent="0.35">
      <c r="A106">
        <v>105</v>
      </c>
      <c r="B106">
        <v>1283138939.46</v>
      </c>
      <c r="C106">
        <v>1364105921.5689628</v>
      </c>
      <c r="D106">
        <v>1216108702.5750551</v>
      </c>
      <c r="E106">
        <v>1202208663.2201753</v>
      </c>
      <c r="F106">
        <v>80930276.239824772</v>
      </c>
      <c r="G106">
        <f t="shared" si="9"/>
        <v>6555652191833098</v>
      </c>
      <c r="H106">
        <f t="shared" si="10"/>
        <v>80966982.108962774</v>
      </c>
      <c r="I106">
        <f t="shared" si="11"/>
        <v>6.3100713117659066E-2</v>
      </c>
      <c r="J106">
        <f t="shared" si="12"/>
        <v>4493052656851830</v>
      </c>
      <c r="K106">
        <f t="shared" si="13"/>
        <v>67030236.884944916</v>
      </c>
      <c r="L106">
        <f t="shared" si="14"/>
        <v>5.2239266398659931E-2</v>
      </c>
      <c r="M106">
        <f t="shared" si="15"/>
        <v>6549709612254346</v>
      </c>
      <c r="N106">
        <f t="shared" si="16"/>
        <v>80930276.239824772</v>
      </c>
      <c r="O106">
        <f t="shared" si="17"/>
        <v>6.3072106808545386E-2</v>
      </c>
    </row>
    <row r="107" spans="1:15" x14ac:dyDescent="0.35">
      <c r="A107">
        <v>106</v>
      </c>
      <c r="B107">
        <v>1287337188.29</v>
      </c>
      <c r="C107">
        <v>1363302510.2715065</v>
      </c>
      <c r="D107">
        <v>1226933800.6763186</v>
      </c>
      <c r="E107">
        <v>1211403722.1878471</v>
      </c>
      <c r="F107">
        <v>75933466.102152824</v>
      </c>
      <c r="G107">
        <f t="shared" si="9"/>
        <v>5770730143753968</v>
      </c>
      <c r="H107">
        <f t="shared" si="10"/>
        <v>75965321.981506586</v>
      </c>
      <c r="I107">
        <f t="shared" si="11"/>
        <v>5.9009653937219894E-2</v>
      </c>
      <c r="J107">
        <f t="shared" si="12"/>
        <v>3648569235208629.5</v>
      </c>
      <c r="K107">
        <f t="shared" si="13"/>
        <v>60403387.613681316</v>
      </c>
      <c r="L107">
        <f t="shared" si="14"/>
        <v>4.6921185966760232E-2</v>
      </c>
      <c r="M107">
        <f t="shared" si="15"/>
        <v>5765891274286792</v>
      </c>
      <c r="N107">
        <f t="shared" si="16"/>
        <v>75933466.102152824</v>
      </c>
      <c r="O107">
        <f t="shared" si="17"/>
        <v>5.8984908377436855E-2</v>
      </c>
    </row>
    <row r="108" spans="1:15" x14ac:dyDescent="0.35">
      <c r="A108">
        <v>107</v>
      </c>
      <c r="B108">
        <v>1321925514.05</v>
      </c>
      <c r="C108">
        <v>1364105921.5689628</v>
      </c>
      <c r="D108">
        <v>1237626624.0366998</v>
      </c>
      <c r="E108">
        <v>1220828565.3588521</v>
      </c>
      <c r="F108">
        <v>101096948.6911478</v>
      </c>
      <c r="G108">
        <f t="shared" si="9"/>
        <v>1779186778465778.5</v>
      </c>
      <c r="H108">
        <f t="shared" si="10"/>
        <v>42180407.51896286</v>
      </c>
      <c r="I108">
        <f t="shared" si="11"/>
        <v>3.1908308804581745E-2</v>
      </c>
      <c r="J108">
        <f t="shared" si="12"/>
        <v>7106302857474481</v>
      </c>
      <c r="K108">
        <f t="shared" si="13"/>
        <v>84298890.01330018</v>
      </c>
      <c r="L108">
        <f t="shared" si="14"/>
        <v>6.3769773044952127E-2</v>
      </c>
      <c r="M108">
        <f t="shared" si="15"/>
        <v>1.0220593034660572E+16</v>
      </c>
      <c r="N108">
        <f t="shared" si="16"/>
        <v>101096948.6911478</v>
      </c>
      <c r="O108">
        <f t="shared" si="17"/>
        <v>7.6477038695936653E-2</v>
      </c>
    </row>
    <row r="109" spans="1:15" x14ac:dyDescent="0.35">
      <c r="A109">
        <v>108</v>
      </c>
      <c r="B109">
        <v>1297947197.4300001</v>
      </c>
      <c r="C109">
        <v>1364105921.5689628</v>
      </c>
      <c r="D109">
        <v>1249265253.4650998</v>
      </c>
      <c r="E109">
        <v>1231032531.7560804</v>
      </c>
      <c r="F109">
        <v>66914665.673919678</v>
      </c>
      <c r="G109">
        <f t="shared" si="9"/>
        <v>4376976779695372</v>
      </c>
      <c r="H109">
        <f t="shared" si="10"/>
        <v>66158724.138962746</v>
      </c>
      <c r="I109">
        <f t="shared" si="11"/>
        <v>5.0971814777951145E-2</v>
      </c>
      <c r="J109">
        <f t="shared" si="12"/>
        <v>2369931668201688.5</v>
      </c>
      <c r="K109">
        <f t="shared" si="13"/>
        <v>48681943.964900255</v>
      </c>
      <c r="L109">
        <f t="shared" si="14"/>
        <v>3.7506875519507203E-2</v>
      </c>
      <c r="M109">
        <f t="shared" si="15"/>
        <v>4477572482252444.5</v>
      </c>
      <c r="N109">
        <f t="shared" si="16"/>
        <v>66914665.673919678</v>
      </c>
      <c r="O109">
        <f t="shared" si="17"/>
        <v>5.1554227942719119E-2</v>
      </c>
    </row>
    <row r="110" spans="1:15" x14ac:dyDescent="0.35">
      <c r="A110">
        <v>109</v>
      </c>
      <c r="B110">
        <v>1265876960.6900001</v>
      </c>
      <c r="C110">
        <v>1364105921.5689628</v>
      </c>
      <c r="D110">
        <v>1260335375.3438032</v>
      </c>
      <c r="E110">
        <v>1241207923.9518578</v>
      </c>
      <c r="F110">
        <v>24669036.738142252</v>
      </c>
      <c r="G110">
        <f t="shared" si="9"/>
        <v>9648928755360796</v>
      </c>
      <c r="H110">
        <f t="shared" si="10"/>
        <v>98228960.878962755</v>
      </c>
      <c r="I110">
        <f t="shared" si="11"/>
        <v>7.7597558000755809E-2</v>
      </c>
      <c r="J110">
        <f t="shared" si="12"/>
        <v>30709168149184.105</v>
      </c>
      <c r="K110">
        <f t="shared" si="13"/>
        <v>5541585.3461968899</v>
      </c>
      <c r="L110">
        <f t="shared" si="14"/>
        <v>4.3776650640488003E-3</v>
      </c>
      <c r="M110">
        <f t="shared" si="15"/>
        <v>608561373587812.13</v>
      </c>
      <c r="N110">
        <f t="shared" si="16"/>
        <v>24669036.738142252</v>
      </c>
      <c r="O110">
        <f t="shared" si="17"/>
        <v>1.9487704969917245E-2</v>
      </c>
    </row>
    <row r="111" spans="1:15" x14ac:dyDescent="0.35">
      <c r="A111">
        <v>110</v>
      </c>
      <c r="B111">
        <v>1299787396.6199999</v>
      </c>
      <c r="C111">
        <v>1364105921.5689628</v>
      </c>
      <c r="D111">
        <v>1267938375.0539787</v>
      </c>
      <c r="E111">
        <v>1249547185.5860803</v>
      </c>
      <c r="F111">
        <v>50240211.033919573</v>
      </c>
      <c r="G111">
        <f t="shared" si="9"/>
        <v>4136872651610366.5</v>
      </c>
      <c r="H111">
        <f t="shared" si="10"/>
        <v>64318524.948962927</v>
      </c>
      <c r="I111">
        <f t="shared" si="11"/>
        <v>4.9483881068718198E-2</v>
      </c>
      <c r="J111">
        <f t="shared" si="12"/>
        <v>1014360174712883.8</v>
      </c>
      <c r="K111">
        <f t="shared" si="13"/>
        <v>31849021.566021204</v>
      </c>
      <c r="L111">
        <f t="shared" si="14"/>
        <v>2.450325464675393E-2</v>
      </c>
      <c r="M111">
        <f t="shared" si="15"/>
        <v>2524078804732774</v>
      </c>
      <c r="N111">
        <f t="shared" si="16"/>
        <v>50240211.033919573</v>
      </c>
      <c r="O111">
        <f t="shared" si="17"/>
        <v>3.8652637473301783E-2</v>
      </c>
    </row>
    <row r="112" spans="1:15" x14ac:dyDescent="0.35">
      <c r="A112">
        <v>111</v>
      </c>
      <c r="B112">
        <v>1308694232.01</v>
      </c>
      <c r="C112">
        <v>1364105921.5689628</v>
      </c>
      <c r="D112">
        <v>1273758225.534456</v>
      </c>
      <c r="E112">
        <v>1256737764.3219838</v>
      </c>
      <c r="F112">
        <v>51956467.688016176</v>
      </c>
      <c r="G112">
        <f t="shared" si="9"/>
        <v>3070455339778869.5</v>
      </c>
      <c r="H112">
        <f t="shared" si="10"/>
        <v>55411689.558962822</v>
      </c>
      <c r="I112">
        <f t="shared" si="11"/>
        <v>4.2341204082375301E-2</v>
      </c>
      <c r="J112">
        <f t="shared" si="12"/>
        <v>1220524548459250.5</v>
      </c>
      <c r="K112">
        <f t="shared" si="13"/>
        <v>34936006.475543976</v>
      </c>
      <c r="L112">
        <f t="shared" si="14"/>
        <v>2.6695316309208753E-2</v>
      </c>
      <c r="M112">
        <f t="shared" si="15"/>
        <v>2699474534615869</v>
      </c>
      <c r="N112">
        <f t="shared" si="16"/>
        <v>51956467.688016176</v>
      </c>
      <c r="O112">
        <f t="shared" si="17"/>
        <v>3.9700998458759289E-2</v>
      </c>
    </row>
    <row r="113" spans="1:15" x14ac:dyDescent="0.35">
      <c r="A113">
        <v>112</v>
      </c>
      <c r="B113">
        <v>1346676930.4100001</v>
      </c>
      <c r="C113">
        <v>1364105921.5689628</v>
      </c>
      <c r="D113">
        <v>1279484019.2684915</v>
      </c>
      <c r="E113">
        <v>1263741420.1567302</v>
      </c>
      <c r="F113">
        <v>82935510.253269911</v>
      </c>
      <c r="G113">
        <f t="shared" si="9"/>
        <v>303769732819200.88</v>
      </c>
      <c r="H113">
        <f t="shared" si="10"/>
        <v>17428991.158962727</v>
      </c>
      <c r="I113">
        <f t="shared" si="11"/>
        <v>1.2942221527219907E-2</v>
      </c>
      <c r="J113">
        <f t="shared" si="12"/>
        <v>4514887307670668</v>
      </c>
      <c r="K113">
        <f t="shared" si="13"/>
        <v>67192911.141508579</v>
      </c>
      <c r="L113">
        <f t="shared" si="14"/>
        <v>4.9895345813231899E-2</v>
      </c>
      <c r="M113">
        <f t="shared" si="15"/>
        <v>6878298860970239</v>
      </c>
      <c r="N113">
        <f t="shared" si="16"/>
        <v>82935510.253269911</v>
      </c>
      <c r="O113">
        <f t="shared" si="17"/>
        <v>6.158530556250038E-2</v>
      </c>
    </row>
    <row r="114" spans="1:15" x14ac:dyDescent="0.35">
      <c r="A114">
        <v>113</v>
      </c>
      <c r="B114">
        <v>1356890155.55</v>
      </c>
      <c r="C114">
        <v>1364105921.5689628</v>
      </c>
      <c r="D114">
        <v>1286832589.5265827</v>
      </c>
      <c r="E114">
        <v>1271530628.4130263</v>
      </c>
      <c r="F114">
        <v>85359527.136973619</v>
      </c>
      <c r="G114">
        <f t="shared" si="9"/>
        <v>52067279240419.125</v>
      </c>
      <c r="H114">
        <f t="shared" si="10"/>
        <v>7215766.0189628601</v>
      </c>
      <c r="I114">
        <f t="shared" si="11"/>
        <v>5.3178704182123213E-3</v>
      </c>
      <c r="J114">
        <f t="shared" si="12"/>
        <v>4908062557125465</v>
      </c>
      <c r="K114">
        <f t="shared" si="13"/>
        <v>70057566.023417234</v>
      </c>
      <c r="L114">
        <f t="shared" si="14"/>
        <v>5.1630978187044332E-2</v>
      </c>
      <c r="M114">
        <f t="shared" si="15"/>
        <v>7286248873047736</v>
      </c>
      <c r="N114">
        <f t="shared" si="16"/>
        <v>85359527.136973619</v>
      </c>
      <c r="O114">
        <f t="shared" si="17"/>
        <v>6.2908207261901841E-2</v>
      </c>
    </row>
    <row r="115" spans="1:15" x14ac:dyDescent="0.35">
      <c r="A115">
        <v>114</v>
      </c>
      <c r="B115">
        <v>1336313323.73</v>
      </c>
      <c r="C115">
        <v>1364105921.5689628</v>
      </c>
      <c r="D115">
        <v>1296127420.080987</v>
      </c>
      <c r="E115">
        <v>1280419467.1884847</v>
      </c>
      <c r="F115">
        <v>55893856.54151535</v>
      </c>
      <c r="G115">
        <f t="shared" si="9"/>
        <v>772428494638319.38</v>
      </c>
      <c r="H115">
        <f t="shared" si="10"/>
        <v>27792597.838962793</v>
      </c>
      <c r="I115">
        <f t="shared" si="11"/>
        <v>2.0797965077072184E-2</v>
      </c>
      <c r="J115">
        <f t="shared" si="12"/>
        <v>1614906852087759.8</v>
      </c>
      <c r="K115">
        <f t="shared" si="13"/>
        <v>40185903.649013042</v>
      </c>
      <c r="L115">
        <f t="shared" si="14"/>
        <v>3.0072216549367085E-2</v>
      </c>
      <c r="M115">
        <f t="shared" si="15"/>
        <v>3124123199083498.5</v>
      </c>
      <c r="N115">
        <f t="shared" si="16"/>
        <v>55893856.54151535</v>
      </c>
      <c r="O115">
        <f t="shared" si="17"/>
        <v>4.1826909564518129E-2</v>
      </c>
    </row>
    <row r="116" spans="1:15" x14ac:dyDescent="0.35">
      <c r="A116">
        <v>115</v>
      </c>
      <c r="B116">
        <v>1339016860.76</v>
      </c>
      <c r="C116">
        <v>1364105921.5689628</v>
      </c>
      <c r="D116">
        <v>1305072811.9634831</v>
      </c>
      <c r="E116">
        <v>1289182936.6550779</v>
      </c>
      <c r="F116">
        <v>49833924.104922056</v>
      </c>
      <c r="G116">
        <f t="shared" si="9"/>
        <v>629460972275834.25</v>
      </c>
      <c r="H116">
        <f t="shared" si="10"/>
        <v>25089060.808962822</v>
      </c>
      <c r="I116">
        <f t="shared" si="11"/>
        <v>1.8736926729005308E-2</v>
      </c>
      <c r="J116">
        <f t="shared" si="12"/>
        <v>1152198448700320</v>
      </c>
      <c r="K116">
        <f t="shared" si="13"/>
        <v>33944048.796516895</v>
      </c>
      <c r="L116">
        <f t="shared" si="14"/>
        <v>2.5349978623309427E-2</v>
      </c>
      <c r="M116">
        <f t="shared" si="15"/>
        <v>2483419991695131.5</v>
      </c>
      <c r="N116">
        <f t="shared" si="16"/>
        <v>49833924.104922056</v>
      </c>
      <c r="O116">
        <f t="shared" si="17"/>
        <v>3.7216801046580761E-2</v>
      </c>
    </row>
    <row r="117" spans="1:15" x14ac:dyDescent="0.35">
      <c r="A117">
        <v>116</v>
      </c>
      <c r="B117">
        <v>1357089546.7</v>
      </c>
      <c r="C117">
        <v>1364105921.5689628</v>
      </c>
      <c r="D117">
        <v>1312693789.6087382</v>
      </c>
      <c r="E117">
        <v>1297175259.8600197</v>
      </c>
      <c r="F117">
        <v>59914286.839980364</v>
      </c>
      <c r="G117">
        <f t="shared" si="9"/>
        <v>49229516301812.258</v>
      </c>
      <c r="H117">
        <f t="shared" si="10"/>
        <v>7016374.8689627647</v>
      </c>
      <c r="I117">
        <f t="shared" si="11"/>
        <v>5.1701635209145218E-3</v>
      </c>
      <c r="J117">
        <f t="shared" si="12"/>
        <v>1970983247706328</v>
      </c>
      <c r="K117">
        <f t="shared" si="13"/>
        <v>44395757.091261864</v>
      </c>
      <c r="L117">
        <f t="shared" si="14"/>
        <v>3.2713948168872048E-2</v>
      </c>
      <c r="M117">
        <f t="shared" si="15"/>
        <v>3589721767543444</v>
      </c>
      <c r="N117">
        <f t="shared" si="16"/>
        <v>59914286.839980364</v>
      </c>
      <c r="O117">
        <f t="shared" si="17"/>
        <v>4.4149103488176154E-2</v>
      </c>
    </row>
    <row r="118" spans="1:15" x14ac:dyDescent="0.35">
      <c r="A118">
        <v>117</v>
      </c>
      <c r="B118">
        <v>1332438001.53</v>
      </c>
      <c r="C118">
        <v>1364105921.5689628</v>
      </c>
      <c r="D118">
        <v>1319947588.7653511</v>
      </c>
      <c r="E118">
        <v>1304890651.4292347</v>
      </c>
      <c r="F118">
        <v>27547350.100765228</v>
      </c>
      <c r="G118">
        <f t="shared" si="9"/>
        <v>1002857159594144.3</v>
      </c>
      <c r="H118">
        <f t="shared" si="10"/>
        <v>31667920.038962841</v>
      </c>
      <c r="I118">
        <f t="shared" si="11"/>
        <v>2.3766899474947041E-2</v>
      </c>
      <c r="J118">
        <f t="shared" si="12"/>
        <v>156010411031304.53</v>
      </c>
      <c r="K118">
        <f t="shared" si="13"/>
        <v>12490412.764648914</v>
      </c>
      <c r="L118">
        <f t="shared" si="14"/>
        <v>9.3741042737497237E-3</v>
      </c>
      <c r="M118">
        <f t="shared" si="15"/>
        <v>758856497574130</v>
      </c>
      <c r="N118">
        <f t="shared" si="16"/>
        <v>27547350.100765228</v>
      </c>
      <c r="O118">
        <f t="shared" si="17"/>
        <v>2.0674395408366773E-2</v>
      </c>
    </row>
    <row r="119" spans="1:15" x14ac:dyDescent="0.35">
      <c r="A119">
        <v>118</v>
      </c>
      <c r="B119">
        <v>1317155750.95</v>
      </c>
      <c r="C119">
        <v>1364105921.5689628</v>
      </c>
      <c r="D119">
        <v>1325699456.4582102</v>
      </c>
      <c r="E119">
        <v>1311693335.3804445</v>
      </c>
      <c r="F119">
        <v>5462415.569555521</v>
      </c>
      <c r="G119">
        <f t="shared" si="9"/>
        <v>2204318521149714.5</v>
      </c>
      <c r="H119">
        <f t="shared" si="10"/>
        <v>46950170.618962765</v>
      </c>
      <c r="I119">
        <f t="shared" si="11"/>
        <v>3.5645116824718645E-2</v>
      </c>
      <c r="J119">
        <f t="shared" si="12"/>
        <v>72994903811021</v>
      </c>
      <c r="K119">
        <f t="shared" si="13"/>
        <v>8543705.5082101822</v>
      </c>
      <c r="L119">
        <f t="shared" si="14"/>
        <v>6.4864808144731749E-3</v>
      </c>
      <c r="M119">
        <f t="shared" si="15"/>
        <v>29837983854522.566</v>
      </c>
      <c r="N119">
        <f t="shared" si="16"/>
        <v>5462415.569555521</v>
      </c>
      <c r="O119">
        <f t="shared" si="17"/>
        <v>4.147129574931247E-3</v>
      </c>
    </row>
    <row r="120" spans="1:15" x14ac:dyDescent="0.35">
      <c r="A120">
        <v>119</v>
      </c>
      <c r="B120">
        <v>1314848577.3499999</v>
      </c>
      <c r="C120">
        <v>1364105921.5689628</v>
      </c>
      <c r="D120">
        <v>1328665220.4504507</v>
      </c>
      <c r="E120">
        <v>1316714179.7528558</v>
      </c>
      <c r="F120">
        <v>1865602.4028558731</v>
      </c>
      <c r="G120">
        <f t="shared" si="9"/>
        <v>2426285959505398.5</v>
      </c>
      <c r="H120">
        <f t="shared" si="10"/>
        <v>49257344.218962908</v>
      </c>
      <c r="I120">
        <f t="shared" si="11"/>
        <v>3.746237024360493E-2</v>
      </c>
      <c r="J120">
        <f t="shared" si="12"/>
        <v>190899626565233.44</v>
      </c>
      <c r="K120">
        <f t="shared" si="13"/>
        <v>13816643.100450754</v>
      </c>
      <c r="L120">
        <f t="shared" si="14"/>
        <v>1.0508162946259095E-2</v>
      </c>
      <c r="M120">
        <f t="shared" si="15"/>
        <v>3480472325541.6074</v>
      </c>
      <c r="N120">
        <f t="shared" si="16"/>
        <v>1865602.4028558731</v>
      </c>
      <c r="O120">
        <f t="shared" si="17"/>
        <v>1.4188724351939332E-3</v>
      </c>
    </row>
    <row r="121" spans="1:15" x14ac:dyDescent="0.35">
      <c r="A121">
        <v>120</v>
      </c>
      <c r="B121">
        <v>1321522127.5899999</v>
      </c>
      <c r="C121">
        <v>1364105921.5689628</v>
      </c>
      <c r="D121">
        <v>1329242657.4381008</v>
      </c>
      <c r="E121">
        <v>1320046169.7603562</v>
      </c>
      <c r="F121">
        <v>1475957.8296437263</v>
      </c>
      <c r="G121">
        <f t="shared" si="9"/>
        <v>1813379509642756.8</v>
      </c>
      <c r="H121">
        <f t="shared" si="10"/>
        <v>42583793.978962898</v>
      </c>
      <c r="I121">
        <f t="shared" si="11"/>
        <v>3.2223292436745675E-2</v>
      </c>
      <c r="J121">
        <f t="shared" si="12"/>
        <v>59606581135416.914</v>
      </c>
      <c r="K121">
        <f t="shared" si="13"/>
        <v>7720529.8481009007</v>
      </c>
      <c r="L121">
        <f t="shared" si="14"/>
        <v>5.8421495084463558E-3</v>
      </c>
      <c r="M121">
        <f t="shared" si="15"/>
        <v>2178451514886.6191</v>
      </c>
      <c r="N121">
        <f t="shared" si="16"/>
        <v>1475957.8296437263</v>
      </c>
      <c r="O121">
        <f t="shared" si="17"/>
        <v>1.1168619872717258E-3</v>
      </c>
    </row>
    <row r="122" spans="1:15" x14ac:dyDescent="0.35">
      <c r="A122">
        <v>121</v>
      </c>
      <c r="B122">
        <v>1355182213.03</v>
      </c>
      <c r="C122">
        <v>1364105921.5689628</v>
      </c>
      <c r="D122">
        <v>1328643670.7401898</v>
      </c>
      <c r="E122">
        <v>1322296983.4204648</v>
      </c>
      <c r="F122">
        <v>32885229.609535217</v>
      </c>
      <c r="G122">
        <f t="shared" si="9"/>
        <v>79632574088358.328</v>
      </c>
      <c r="H122">
        <f t="shared" si="10"/>
        <v>8923708.538962841</v>
      </c>
      <c r="I122">
        <f t="shared" si="11"/>
        <v>6.5848772609040252E-3</v>
      </c>
      <c r="J122">
        <f t="shared" si="12"/>
        <v>704294226868043.38</v>
      </c>
      <c r="K122">
        <f t="shared" si="13"/>
        <v>26538542.289810181</v>
      </c>
      <c r="L122">
        <f t="shared" si="14"/>
        <v>1.9583006650060488E-2</v>
      </c>
      <c r="M122">
        <f t="shared" si="15"/>
        <v>1081438326471851.8</v>
      </c>
      <c r="N122">
        <f t="shared" si="16"/>
        <v>32885229.609535217</v>
      </c>
      <c r="O122">
        <f t="shared" si="17"/>
        <v>2.4266278950052327E-2</v>
      </c>
    </row>
    <row r="123" spans="1:15" x14ac:dyDescent="0.35">
      <c r="A123">
        <v>122</v>
      </c>
      <c r="B123">
        <v>1363472276.5599999</v>
      </c>
      <c r="C123">
        <v>1364105921.5689628</v>
      </c>
      <c r="D123">
        <v>1329244324.2665186</v>
      </c>
      <c r="E123">
        <v>1324816632.6925554</v>
      </c>
      <c r="F123">
        <v>38655643.867444515</v>
      </c>
      <c r="G123">
        <f t="shared" si="9"/>
        <v>401505997383.55518</v>
      </c>
      <c r="H123">
        <f t="shared" si="10"/>
        <v>633645.00896286964</v>
      </c>
      <c r="I123">
        <f t="shared" si="11"/>
        <v>4.6472892764753325E-4</v>
      </c>
      <c r="J123">
        <f t="shared" si="12"/>
        <v>1171552718204835.3</v>
      </c>
      <c r="K123">
        <f t="shared" si="13"/>
        <v>34227952.29348135</v>
      </c>
      <c r="L123">
        <f t="shared" si="14"/>
        <v>2.5103519068123231E-2</v>
      </c>
      <c r="M123">
        <f t="shared" si="15"/>
        <v>1494258802806700.8</v>
      </c>
      <c r="N123">
        <f t="shared" si="16"/>
        <v>38655643.867444515</v>
      </c>
      <c r="O123">
        <f t="shared" si="17"/>
        <v>2.8350883646106509E-2</v>
      </c>
    </row>
    <row r="124" spans="1:15" x14ac:dyDescent="0.35">
      <c r="A124">
        <v>123</v>
      </c>
      <c r="B124">
        <v>1361409052.4200001</v>
      </c>
      <c r="C124">
        <v>1364105921.5689628</v>
      </c>
      <c r="D124">
        <v>1331815526.1603935</v>
      </c>
      <c r="E124">
        <v>1328203866.156194</v>
      </c>
      <c r="F124">
        <v>33205186.263806105</v>
      </c>
      <c r="G124">
        <f t="shared" si="9"/>
        <v>7273103206626.9922</v>
      </c>
      <c r="H124">
        <f t="shared" si="10"/>
        <v>2696869.1489627361</v>
      </c>
      <c r="I124">
        <f t="shared" si="11"/>
        <v>1.9809396332196132E-3</v>
      </c>
      <c r="J124">
        <f t="shared" si="12"/>
        <v>875776796478025.38</v>
      </c>
      <c r="K124">
        <f t="shared" si="13"/>
        <v>29593526.2596066</v>
      </c>
      <c r="L124">
        <f t="shared" si="14"/>
        <v>2.1737424330330424E-2</v>
      </c>
      <c r="M124">
        <f t="shared" si="15"/>
        <v>1102584394814057.6</v>
      </c>
      <c r="N124">
        <f t="shared" si="16"/>
        <v>33205186.263806105</v>
      </c>
      <c r="O124">
        <f t="shared" si="17"/>
        <v>2.4390308118475895E-2</v>
      </c>
    </row>
    <row r="125" spans="1:15" x14ac:dyDescent="0.35">
      <c r="A125">
        <v>124</v>
      </c>
      <c r="B125">
        <v>1387976484.3800001</v>
      </c>
      <c r="C125">
        <v>1364105921.5689628</v>
      </c>
      <c r="D125">
        <v>1335435639.3658555</v>
      </c>
      <c r="E125">
        <v>1332055787.570925</v>
      </c>
      <c r="F125">
        <v>55920696.809075117</v>
      </c>
      <c r="G125">
        <f t="shared" si="9"/>
        <v>569803768915677</v>
      </c>
      <c r="H125">
        <f t="shared" si="10"/>
        <v>23870562.811037302</v>
      </c>
      <c r="I125">
        <f t="shared" si="11"/>
        <v>1.719810319531467E-2</v>
      </c>
      <c r="J125">
        <f t="shared" si="12"/>
        <v>2760540394800369.5</v>
      </c>
      <c r="K125">
        <f t="shared" si="13"/>
        <v>52540845.014144659</v>
      </c>
      <c r="L125">
        <f t="shared" si="14"/>
        <v>3.7854276066942374E-2</v>
      </c>
      <c r="M125">
        <f t="shared" si="15"/>
        <v>3127124331612504</v>
      </c>
      <c r="N125">
        <f t="shared" si="16"/>
        <v>55920696.809075117</v>
      </c>
      <c r="O125">
        <f t="shared" si="17"/>
        <v>4.0289369047959427E-2</v>
      </c>
    </row>
    <row r="126" spans="1:15" x14ac:dyDescent="0.35">
      <c r="A126">
        <v>125</v>
      </c>
      <c r="B126">
        <v>1408094281.5799999</v>
      </c>
      <c r="C126">
        <v>1385130818.9964097</v>
      </c>
      <c r="D126">
        <v>1340668051.8881748</v>
      </c>
      <c r="E126">
        <v>1336752195.6976979</v>
      </c>
      <c r="F126">
        <v>71342085.882302046</v>
      </c>
      <c r="G126">
        <f t="shared" si="9"/>
        <v>527320613827950.25</v>
      </c>
      <c r="H126">
        <f t="shared" si="10"/>
        <v>22963462.583590269</v>
      </c>
      <c r="I126">
        <f t="shared" si="11"/>
        <v>1.6308185385017923E-2</v>
      </c>
      <c r="J126">
        <f t="shared" si="12"/>
        <v>4546296450454764</v>
      </c>
      <c r="K126">
        <f t="shared" si="13"/>
        <v>67426229.691825151</v>
      </c>
      <c r="L126">
        <f t="shared" si="14"/>
        <v>4.7884740797446645E-2</v>
      </c>
      <c r="M126">
        <f t="shared" si="15"/>
        <v>5089693218037761</v>
      </c>
      <c r="N126">
        <f t="shared" si="16"/>
        <v>71342085.882302046</v>
      </c>
      <c r="O126">
        <f t="shared" si="17"/>
        <v>5.0665702443056751E-2</v>
      </c>
    </row>
    <row r="127" spans="1:15" x14ac:dyDescent="0.35">
      <c r="A127">
        <v>126</v>
      </c>
      <c r="B127">
        <v>1410137587.6700001</v>
      </c>
      <c r="C127">
        <v>1409449607.496089</v>
      </c>
      <c r="D127">
        <v>1348201163.8639688</v>
      </c>
      <c r="E127">
        <v>1362811629.3024175</v>
      </c>
      <c r="F127">
        <v>47325958.36758256</v>
      </c>
      <c r="G127">
        <f t="shared" si="9"/>
        <v>473316719694.74005</v>
      </c>
      <c r="H127">
        <f t="shared" si="10"/>
        <v>687980.17391109467</v>
      </c>
      <c r="I127">
        <f t="shared" si="11"/>
        <v>4.8788159391443408E-4</v>
      </c>
      <c r="J127">
        <f t="shared" si="12"/>
        <v>3836120593880311.5</v>
      </c>
      <c r="K127">
        <f t="shared" si="13"/>
        <v>61936423.806031227</v>
      </c>
      <c r="L127">
        <f t="shared" si="14"/>
        <v>4.3922255776736002E-2</v>
      </c>
      <c r="M127">
        <f t="shared" si="15"/>
        <v>2239746335410157.8</v>
      </c>
      <c r="N127">
        <f t="shared" si="16"/>
        <v>47325958.36758256</v>
      </c>
      <c r="O127">
        <f t="shared" si="17"/>
        <v>3.3561234578379145E-2</v>
      </c>
    </row>
    <row r="128" spans="1:15" x14ac:dyDescent="0.35">
      <c r="A128">
        <v>127</v>
      </c>
      <c r="B128">
        <v>1387885601.8099999</v>
      </c>
      <c r="C128">
        <v>1409449607.496089</v>
      </c>
      <c r="D128">
        <v>1357166438.6283078</v>
      </c>
      <c r="E128">
        <v>1369887673.1141725</v>
      </c>
      <c r="F128">
        <v>17997928.695827484</v>
      </c>
      <c r="G128">
        <f t="shared" si="9"/>
        <v>465006341229680.38</v>
      </c>
      <c r="H128">
        <f t="shared" si="10"/>
        <v>21564005.686089039</v>
      </c>
      <c r="I128">
        <f t="shared" si="11"/>
        <v>1.5537307727644492E-2</v>
      </c>
      <c r="J128">
        <f t="shared" si="12"/>
        <v>943666986583429</v>
      </c>
      <c r="K128">
        <f t="shared" si="13"/>
        <v>30719163.181692123</v>
      </c>
      <c r="L128">
        <f t="shared" si="14"/>
        <v>2.213378620084391E-2</v>
      </c>
      <c r="M128">
        <f t="shared" si="15"/>
        <v>323925437340090.38</v>
      </c>
      <c r="N128">
        <f t="shared" si="16"/>
        <v>17997928.695827484</v>
      </c>
      <c r="O128">
        <f t="shared" si="17"/>
        <v>1.2967876222907442E-2</v>
      </c>
    </row>
    <row r="129" spans="1:15" x14ac:dyDescent="0.35">
      <c r="A129">
        <v>128</v>
      </c>
      <c r="B129">
        <v>1393433741.8599999</v>
      </c>
      <c r="C129">
        <v>1387559745.1788943</v>
      </c>
      <c r="D129">
        <v>1365234721.5854394</v>
      </c>
      <c r="E129">
        <v>1356703417.5056334</v>
      </c>
      <c r="F129">
        <v>36730324.354366541</v>
      </c>
      <c r="G129">
        <f t="shared" si="9"/>
        <v>34503837009639.766</v>
      </c>
      <c r="H129">
        <f t="shared" si="10"/>
        <v>5873996.6811056137</v>
      </c>
      <c r="I129">
        <f t="shared" si="11"/>
        <v>4.2154833090698772E-3</v>
      </c>
      <c r="J129">
        <f t="shared" si="12"/>
        <v>795184744445071.38</v>
      </c>
      <c r="K129">
        <f t="shared" si="13"/>
        <v>28199020.274560452</v>
      </c>
      <c r="L129">
        <f t="shared" si="14"/>
        <v>2.0237072942499223E-2</v>
      </c>
      <c r="M129">
        <f t="shared" si="15"/>
        <v>1349116727176971.8</v>
      </c>
      <c r="N129">
        <f t="shared" si="16"/>
        <v>36730324.354366541</v>
      </c>
      <c r="O129">
        <f t="shared" si="17"/>
        <v>2.6359577245013265E-2</v>
      </c>
    </row>
    <row r="130" spans="1:15" x14ac:dyDescent="0.35">
      <c r="A130">
        <v>129</v>
      </c>
      <c r="B130">
        <v>1401733260.01</v>
      </c>
      <c r="C130">
        <v>1409449607.496089</v>
      </c>
      <c r="D130">
        <v>1371841791.3158844</v>
      </c>
      <c r="E130">
        <v>1382783329.2880595</v>
      </c>
      <c r="F130">
        <v>18949930.721940517</v>
      </c>
      <c r="G130">
        <f t="shared" si="9"/>
        <v>59542018526071.891</v>
      </c>
      <c r="H130">
        <f t="shared" si="10"/>
        <v>7716347.4860889912</v>
      </c>
      <c r="I130">
        <f t="shared" si="11"/>
        <v>5.5048615212525834E-3</v>
      </c>
      <c r="J130">
        <f t="shared" si="12"/>
        <v>893499900691295.25</v>
      </c>
      <c r="K130">
        <f t="shared" si="13"/>
        <v>29891468.694115639</v>
      </c>
      <c r="L130">
        <f t="shared" si="14"/>
        <v>2.1324648238640206E-2</v>
      </c>
      <c r="M130">
        <f t="shared" si="15"/>
        <v>359099874366345.06</v>
      </c>
      <c r="N130">
        <f t="shared" si="16"/>
        <v>18949930.721940517</v>
      </c>
      <c r="O130">
        <f t="shared" si="17"/>
        <v>1.3518927789303742E-2</v>
      </c>
    </row>
    <row r="131" spans="1:15" x14ac:dyDescent="0.35">
      <c r="A131">
        <v>130</v>
      </c>
      <c r="B131">
        <v>1426368691.9300001</v>
      </c>
      <c r="C131">
        <v>1409449607.496089</v>
      </c>
      <c r="D131">
        <v>1377680691.2639954</v>
      </c>
      <c r="E131">
        <v>1388507932.4303677</v>
      </c>
      <c r="F131">
        <v>37860759.499632359</v>
      </c>
      <c r="G131">
        <f t="shared" ref="G131:G141" si="18">(B131 - C131)^2</f>
        <v>286255418081812.38</v>
      </c>
      <c r="H131">
        <f t="shared" ref="H131:H141" si="19">ABS(B131 - C131)</f>
        <v>16919084.433911085</v>
      </c>
      <c r="I131">
        <f t="shared" ref="I131:I141" si="20">ABS((B131 - C131) / B131)</f>
        <v>1.1861648765592368E-2</v>
      </c>
      <c r="J131">
        <f t="shared" ref="J131:J141" si="21">(B131 - D131)^2</f>
        <v>2370521408852870</v>
      </c>
      <c r="K131">
        <f t="shared" ref="K131:K141" si="22">ABS(B131 - D131)</f>
        <v>48688000.666004658</v>
      </c>
      <c r="L131">
        <f t="shared" ref="L131:L141" si="23">ABS((B131 - D131) / B131)</f>
        <v>3.4134232573575063E-2</v>
      </c>
      <c r="M131">
        <f t="shared" ref="M131:M141" si="24">(B131 - E131)^2</f>
        <v>1433437109889002</v>
      </c>
      <c r="N131">
        <f t="shared" ref="N131:N141" si="25">ABS(B131 - E131)</f>
        <v>37860759.499632359</v>
      </c>
      <c r="O131">
        <f t="shared" ref="O131:O141" si="26">ABS((B131 - E131) / B131)</f>
        <v>2.6543459425208978E-2</v>
      </c>
    </row>
    <row r="132" spans="1:15" x14ac:dyDescent="0.35">
      <c r="A132">
        <v>131</v>
      </c>
      <c r="B132">
        <v>1423690238.5799999</v>
      </c>
      <c r="C132">
        <v>1437887367.1348913</v>
      </c>
      <c r="D132">
        <v>1384091432.4186392</v>
      </c>
      <c r="E132">
        <v>1417475386.3285627</v>
      </c>
      <c r="F132">
        <v>6214852.2514371872</v>
      </c>
      <c r="G132">
        <f t="shared" si="18"/>
        <v>201558459204111.28</v>
      </c>
      <c r="H132">
        <f t="shared" si="19"/>
        <v>14197128.554891348</v>
      </c>
      <c r="I132">
        <f t="shared" si="20"/>
        <v>9.9720628618284821E-3</v>
      </c>
      <c r="J132">
        <f t="shared" si="21"/>
        <v>1568065449405021.3</v>
      </c>
      <c r="K132">
        <f t="shared" si="22"/>
        <v>39598806.161360741</v>
      </c>
      <c r="L132">
        <f t="shared" si="23"/>
        <v>2.7814200791920093E-2</v>
      </c>
      <c r="M132">
        <f t="shared" si="24"/>
        <v>38624388507193.875</v>
      </c>
      <c r="N132">
        <f t="shared" si="25"/>
        <v>6214852.2514371872</v>
      </c>
      <c r="O132">
        <f t="shared" si="26"/>
        <v>4.3653121184815671E-3</v>
      </c>
    </row>
    <row r="133" spans="1:15" x14ac:dyDescent="0.35">
      <c r="A133">
        <v>132</v>
      </c>
      <c r="B133">
        <v>1412238457.3</v>
      </c>
      <c r="C133">
        <v>1440766217.9310522</v>
      </c>
      <c r="D133">
        <v>1390886139.4052773</v>
      </c>
      <c r="E133">
        <v>1433819234.2625163</v>
      </c>
      <c r="F133">
        <v>21580776.962516308</v>
      </c>
      <c r="G133">
        <f t="shared" si="18"/>
        <v>813833126622615</v>
      </c>
      <c r="H133">
        <f t="shared" si="19"/>
        <v>28527760.631052256</v>
      </c>
      <c r="I133">
        <f t="shared" si="20"/>
        <v>2.0200385057912454E-2</v>
      </c>
      <c r="J133">
        <f t="shared" si="21"/>
        <v>455921479477295.25</v>
      </c>
      <c r="K133">
        <f t="shared" si="22"/>
        <v>21352317.8947227</v>
      </c>
      <c r="L133">
        <f t="shared" si="23"/>
        <v>1.5119484803965267E-2</v>
      </c>
      <c r="M133">
        <f t="shared" si="24"/>
        <v>465729934305874.63</v>
      </c>
      <c r="N133">
        <f t="shared" si="25"/>
        <v>21580776.962516308</v>
      </c>
      <c r="O133">
        <f t="shared" si="26"/>
        <v>1.5281255690894936E-2</v>
      </c>
    </row>
    <row r="134" spans="1:15" x14ac:dyDescent="0.35">
      <c r="A134">
        <v>133</v>
      </c>
      <c r="B134">
        <v>1385943110.1099999</v>
      </c>
      <c r="C134">
        <v>1418227125.9450622</v>
      </c>
      <c r="D134">
        <v>1396708847.3058996</v>
      </c>
      <c r="E134">
        <v>1416801154.2334981</v>
      </c>
      <c r="F134">
        <v>30858044.123498201</v>
      </c>
      <c r="G134">
        <f t="shared" si="18"/>
        <v>1042257678438551.1</v>
      </c>
      <c r="H134">
        <f t="shared" si="19"/>
        <v>32284015.835062265</v>
      </c>
      <c r="I134">
        <f t="shared" si="20"/>
        <v>2.3293896841479977E-2</v>
      </c>
      <c r="J134">
        <f t="shared" si="21"/>
        <v>115901097371178.88</v>
      </c>
      <c r="K134">
        <f t="shared" si="22"/>
        <v>10765737.195899725</v>
      </c>
      <c r="L134">
        <f t="shared" si="23"/>
        <v>7.7678059924445727E-3</v>
      </c>
      <c r="M134">
        <f t="shared" si="24"/>
        <v>952218887127761.88</v>
      </c>
      <c r="N134">
        <f t="shared" si="25"/>
        <v>30858044.123498201</v>
      </c>
      <c r="O134">
        <f t="shared" si="26"/>
        <v>2.2265014991162988E-2</v>
      </c>
    </row>
    <row r="135" spans="1:15" x14ac:dyDescent="0.35">
      <c r="A135">
        <v>134</v>
      </c>
      <c r="B135">
        <v>1424869274.51</v>
      </c>
      <c r="C135">
        <v>1393458412.8317065</v>
      </c>
      <c r="D135">
        <v>1399912610.5843899</v>
      </c>
      <c r="E135">
        <v>1391210337.5325704</v>
      </c>
      <c r="F135">
        <v>33658936.977429628</v>
      </c>
      <c r="G135">
        <f t="shared" si="18"/>
        <v>986642231372885</v>
      </c>
      <c r="H135">
        <f t="shared" si="19"/>
        <v>31410861.678293467</v>
      </c>
      <c r="I135">
        <f t="shared" si="20"/>
        <v>2.2044732271383552E-2</v>
      </c>
      <c r="J135">
        <f t="shared" si="21"/>
        <v>622835074295846.75</v>
      </c>
      <c r="K135">
        <f t="shared" si="22"/>
        <v>24956663.925610065</v>
      </c>
      <c r="L135">
        <f t="shared" si="23"/>
        <v>1.7515055150720715E-2</v>
      </c>
      <c r="M135">
        <f t="shared" si="24"/>
        <v>1132924038450579.5</v>
      </c>
      <c r="N135">
        <f t="shared" si="25"/>
        <v>33658936.977429628</v>
      </c>
      <c r="O135">
        <f t="shared" si="26"/>
        <v>2.3622473710091504E-2</v>
      </c>
    </row>
    <row r="136" spans="1:15" x14ac:dyDescent="0.35">
      <c r="A136">
        <v>135</v>
      </c>
      <c r="B136">
        <v>1391976494.9000001</v>
      </c>
      <c r="C136">
        <v>1437887367.1348913</v>
      </c>
      <c r="D136">
        <v>1402626564.4263458</v>
      </c>
      <c r="E136">
        <v>1437994996.6270223</v>
      </c>
      <c r="F136">
        <v>46018501.727022171</v>
      </c>
      <c r="G136">
        <f t="shared" si="18"/>
        <v>2107808189368501.5</v>
      </c>
      <c r="H136">
        <f t="shared" si="19"/>
        <v>45910872.234891176</v>
      </c>
      <c r="I136">
        <f t="shared" si="20"/>
        <v>3.298250538216841E-2</v>
      </c>
      <c r="J136">
        <f t="shared" si="21"/>
        <v>113423980915997.95</v>
      </c>
      <c r="K136">
        <f t="shared" si="22"/>
        <v>10650069.52634573</v>
      </c>
      <c r="L136">
        <f t="shared" si="23"/>
        <v>7.6510412103696001E-3</v>
      </c>
      <c r="M136">
        <f t="shared" si="24"/>
        <v>2117702501199942.5</v>
      </c>
      <c r="N136">
        <f t="shared" si="25"/>
        <v>46018501.727022171</v>
      </c>
      <c r="O136">
        <f t="shared" si="26"/>
        <v>3.3059826725255266E-2</v>
      </c>
    </row>
    <row r="137" spans="1:15" x14ac:dyDescent="0.35">
      <c r="A137">
        <v>136</v>
      </c>
      <c r="B137">
        <v>1375528742.6700001</v>
      </c>
      <c r="C137">
        <v>1390438595.9750552</v>
      </c>
      <c r="D137">
        <v>1404201241.0446262</v>
      </c>
      <c r="E137">
        <v>1398243043.8054583</v>
      </c>
      <c r="F137">
        <v>22714301.135458231</v>
      </c>
      <c r="G137">
        <f t="shared" si="18"/>
        <v>222303725578263.72</v>
      </c>
      <c r="H137">
        <f t="shared" si="19"/>
        <v>14909853.305055141</v>
      </c>
      <c r="I137">
        <f t="shared" si="20"/>
        <v>1.0839361506989702E-2</v>
      </c>
      <c r="J137">
        <f t="shared" si="21"/>
        <v>822112163042939.75</v>
      </c>
      <c r="K137">
        <f t="shared" si="22"/>
        <v>28672498.37462616</v>
      </c>
      <c r="L137">
        <f t="shared" si="23"/>
        <v>2.0844710463098562E-2</v>
      </c>
      <c r="M137">
        <f t="shared" si="24"/>
        <v>515939476072279.06</v>
      </c>
      <c r="N137">
        <f t="shared" si="25"/>
        <v>22714301.135458231</v>
      </c>
      <c r="O137">
        <f t="shared" si="26"/>
        <v>1.6513141769301121E-2</v>
      </c>
    </row>
    <row r="138" spans="1:15" x14ac:dyDescent="0.35">
      <c r="A138">
        <v>137</v>
      </c>
      <c r="B138">
        <v>1362224184.3199999</v>
      </c>
      <c r="C138">
        <v>1373059766.6527216</v>
      </c>
      <c r="D138">
        <v>1403212216.496913</v>
      </c>
      <c r="E138">
        <v>1399657585.8364422</v>
      </c>
      <c r="F138">
        <v>37433401.516442299</v>
      </c>
      <c r="G138">
        <f t="shared" si="18"/>
        <v>117409844489190.86</v>
      </c>
      <c r="H138">
        <f t="shared" si="19"/>
        <v>10835582.33272171</v>
      </c>
      <c r="I138">
        <f t="shared" si="20"/>
        <v>7.954331201461275E-3</v>
      </c>
      <c r="J138">
        <f t="shared" si="21"/>
        <v>1680018781735657.3</v>
      </c>
      <c r="K138">
        <f t="shared" si="22"/>
        <v>40988032.176913023</v>
      </c>
      <c r="L138">
        <f t="shared" si="23"/>
        <v>3.0089050428489916E-2</v>
      </c>
      <c r="M138">
        <f t="shared" si="24"/>
        <v>1401259549091184.5</v>
      </c>
      <c r="N138">
        <f t="shared" si="25"/>
        <v>37433401.516442299</v>
      </c>
      <c r="O138">
        <f t="shared" si="26"/>
        <v>2.7479618955031575E-2</v>
      </c>
    </row>
    <row r="139" spans="1:15" x14ac:dyDescent="0.35">
      <c r="A139">
        <v>138</v>
      </c>
      <c r="B139">
        <v>1362625794.5</v>
      </c>
      <c r="C139">
        <v>1364105921.5689628</v>
      </c>
      <c r="D139">
        <v>1399690803.3456287</v>
      </c>
      <c r="E139">
        <v>1399268143.2825034</v>
      </c>
      <c r="F139">
        <v>36642348.782503366</v>
      </c>
      <c r="G139">
        <f t="shared" si="18"/>
        <v>2190776140276.446</v>
      </c>
      <c r="H139">
        <f t="shared" si="19"/>
        <v>1480127.0689628124</v>
      </c>
      <c r="I139">
        <f t="shared" si="20"/>
        <v>1.0862315060650443E-3</v>
      </c>
      <c r="J139">
        <f t="shared" si="21"/>
        <v>1373814880726536.5</v>
      </c>
      <c r="K139">
        <f t="shared" si="22"/>
        <v>37065008.845628738</v>
      </c>
      <c r="L139">
        <f t="shared" si="23"/>
        <v>2.7201164835742246E-2</v>
      </c>
      <c r="M139">
        <f t="shared" si="24"/>
        <v>1342661724298626</v>
      </c>
      <c r="N139">
        <f t="shared" si="25"/>
        <v>36642348.782503366</v>
      </c>
      <c r="O139">
        <f t="shared" si="26"/>
        <v>2.6890984252906248E-2</v>
      </c>
    </row>
    <row r="140" spans="1:15" x14ac:dyDescent="0.35">
      <c r="A140">
        <v>139</v>
      </c>
      <c r="B140">
        <v>1365079530.4100001</v>
      </c>
      <c r="C140">
        <v>1364105921.5689628</v>
      </c>
      <c r="D140">
        <v>1394590427.4458463</v>
      </c>
      <c r="E140">
        <v>1397510591.7749381</v>
      </c>
      <c r="F140">
        <v>32431061.364938021</v>
      </c>
      <c r="G140">
        <f t="shared" si="18"/>
        <v>947914175345.94275</v>
      </c>
      <c r="H140">
        <f t="shared" si="19"/>
        <v>973608.84103727341</v>
      </c>
      <c r="I140">
        <f t="shared" si="20"/>
        <v>7.1322499484323171E-4</v>
      </c>
      <c r="J140">
        <f t="shared" si="21"/>
        <v>870893043860318</v>
      </c>
      <c r="K140">
        <f t="shared" si="22"/>
        <v>29510897.035846233</v>
      </c>
      <c r="L140">
        <f t="shared" si="23"/>
        <v>2.1618445210282122E-2</v>
      </c>
      <c r="M140">
        <f t="shared" si="24"/>
        <v>1051773741256375.5</v>
      </c>
      <c r="N140">
        <f t="shared" si="25"/>
        <v>32431061.364938021</v>
      </c>
      <c r="O140">
        <f t="shared" si="26"/>
        <v>2.3757635099251242E-2</v>
      </c>
    </row>
    <row r="141" spans="1:15" x14ac:dyDescent="0.35">
      <c r="A141">
        <v>140</v>
      </c>
      <c r="B141">
        <v>1374193725.8</v>
      </c>
      <c r="C141">
        <v>1364105921.5689628</v>
      </c>
      <c r="D141">
        <v>1389060962.287612</v>
      </c>
      <c r="E141">
        <v>1395029398.615633</v>
      </c>
      <c r="F141">
        <v>20835672.815633059</v>
      </c>
      <c r="G141">
        <f t="shared" si="18"/>
        <v>101763794203730.83</v>
      </c>
      <c r="H141">
        <f t="shared" si="19"/>
        <v>10087804.23103714</v>
      </c>
      <c r="I141">
        <f t="shared" si="20"/>
        <v>7.340889455134449E-3</v>
      </c>
      <c r="J141">
        <f t="shared" si="21"/>
        <v>221034720778581.88</v>
      </c>
      <c r="K141">
        <f t="shared" si="22"/>
        <v>14867236.487612009</v>
      </c>
      <c r="L141">
        <f t="shared" si="23"/>
        <v>1.0818879615359113E-2</v>
      </c>
      <c r="M141">
        <f t="shared" si="24"/>
        <v>434125261680110.44</v>
      </c>
      <c r="N141">
        <f t="shared" si="25"/>
        <v>20835672.815633059</v>
      </c>
      <c r="O141">
        <f t="shared" si="26"/>
        <v>1.5162107368452271E-2</v>
      </c>
    </row>
  </sheetData>
  <pageMargins left="0.7" right="0.7" top="0.75" bottom="0.75" header="0.3" footer="0.3"/>
  <pageSetup orientation="portrait" r:id="rId1"/>
  <ignoredErrors>
    <ignoredError sqref="A1:F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Evaluation Metrics</vt:lpstr>
      <vt:lpstr>2. Future Projections</vt:lpstr>
      <vt:lpstr>3. Detail Testing (Horizon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Sapar Hidayat. S</cp:lastModifiedBy>
  <dcterms:modified xsi:type="dcterms:W3CDTF">2026-07-24T20:40:03Z</dcterms:modified>
</cp:coreProperties>
</file>